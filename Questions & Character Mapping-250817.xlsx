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mc:AlternateContent xmlns:mc="http://schemas.openxmlformats.org/markup-compatibility/2006">
    <mc:Choice Requires="x15">
      <x15ac:absPath xmlns:x15ac="http://schemas.microsoft.com/office/spreadsheetml/2010/11/ac" url="D:\DMH MV\"/>
    </mc:Choice>
  </mc:AlternateContent>
  <xr:revisionPtr revIDLastSave="0" documentId="8_{17EE77FB-5972-4E4F-9B93-C860FE1437AC}" xr6:coauthVersionLast="47" xr6:coauthVersionMax="47" xr10:uidLastSave="{00000000-0000-0000-0000-000000000000}"/>
  <bookViews>
    <workbookView xWindow="-110" yWindow="-110" windowWidth="19420" windowHeight="10300" xr2:uid="{E658BEBE-7996-428C-8284-35968EA9036D}"/>
  </bookViews>
  <sheets>
    <sheet name="Questions" sheetId="3" r:id="rId1"/>
    <sheet name="Score &amp; Character mapping" sheetId="2" r:id="rId2"/>
    <sheet name="Sheet1"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0" i="3" l="1"/>
  <c r="R49" i="3"/>
  <c r="J49" i="3"/>
  <c r="J48" i="3"/>
  <c r="J47" i="3"/>
  <c r="J46" i="3"/>
  <c r="J45" i="3"/>
  <c r="J50" i="3" s="1"/>
  <c r="P50" i="3" s="1"/>
  <c r="J44" i="3"/>
  <c r="J43" i="3"/>
  <c r="J42" i="3"/>
  <c r="M40" i="3"/>
  <c r="R39" i="3"/>
  <c r="J39" i="3"/>
  <c r="J38" i="3"/>
  <c r="J37" i="3"/>
  <c r="J36" i="3"/>
  <c r="J35" i="3"/>
  <c r="J34" i="3"/>
  <c r="J33" i="3"/>
  <c r="J32" i="3"/>
  <c r="J40" i="3" s="1"/>
  <c r="P40" i="3" s="1"/>
  <c r="M30" i="3"/>
  <c r="R29" i="3"/>
  <c r="J29" i="3"/>
  <c r="J28" i="3"/>
  <c r="J27" i="3"/>
  <c r="J26" i="3"/>
  <c r="J25" i="3"/>
  <c r="J24" i="3"/>
  <c r="J30" i="3" s="1"/>
  <c r="P30" i="3" s="1"/>
  <c r="J23" i="3"/>
  <c r="J22" i="3"/>
  <c r="M21" i="3"/>
  <c r="K21" i="3"/>
  <c r="O21" i="3" s="1"/>
  <c r="R20" i="3"/>
  <c r="J20" i="3"/>
  <c r="J19" i="3"/>
  <c r="J18" i="3"/>
  <c r="J17" i="3"/>
  <c r="J16" i="3"/>
  <c r="J15" i="3"/>
  <c r="J21" i="3" s="1"/>
  <c r="P21" i="3" s="1"/>
  <c r="J14" i="3"/>
  <c r="J13" i="3"/>
  <c r="M12" i="3"/>
  <c r="D12" i="3"/>
  <c r="R11" i="3"/>
  <c r="J11" i="3"/>
  <c r="J10" i="3"/>
  <c r="J12" i="3" s="1"/>
  <c r="J9" i="3"/>
  <c r="J8" i="3"/>
  <c r="J7" i="3"/>
  <c r="J6" i="3"/>
  <c r="J5" i="3"/>
  <c r="J4" i="3"/>
  <c r="Q12" i="3" l="1"/>
  <c r="P12" i="3"/>
  <c r="S12" i="3" l="1"/>
  <c r="R12" i="3" s="1"/>
  <c r="Q21" i="3"/>
  <c r="Q30" i="3" l="1"/>
  <c r="S21" i="3"/>
  <c r="R21" i="3" s="1"/>
  <c r="Q40" i="3" l="1"/>
  <c r="S30" i="3"/>
  <c r="R30" i="3" s="1"/>
  <c r="Q50" i="3" l="1"/>
  <c r="S50" i="3" s="1"/>
  <c r="R50" i="3" s="1"/>
  <c r="S40" i="3"/>
  <c r="R40" i="3" s="1"/>
  <c r="O33" i="2" l="1"/>
  <c r="N33" i="2"/>
  <c r="M33" i="2"/>
  <c r="L33" i="2"/>
  <c r="K33" i="2"/>
  <c r="O32" i="2"/>
  <c r="N32" i="2"/>
  <c r="M32" i="2"/>
  <c r="L32" i="2"/>
  <c r="K32" i="2"/>
  <c r="O31" i="2"/>
  <c r="N31" i="2"/>
  <c r="M31" i="2"/>
  <c r="L31" i="2"/>
  <c r="K31" i="2"/>
  <c r="O30" i="2"/>
  <c r="N30" i="2"/>
  <c r="M30" i="2"/>
  <c r="L30" i="2"/>
  <c r="K30" i="2"/>
  <c r="O29" i="2"/>
  <c r="N29" i="2"/>
  <c r="M29" i="2"/>
  <c r="L29" i="2"/>
  <c r="K29" i="2"/>
  <c r="O28" i="2"/>
  <c r="N28" i="2"/>
  <c r="M28" i="2"/>
  <c r="L28" i="2"/>
  <c r="K28" i="2"/>
  <c r="O27" i="2"/>
  <c r="N27" i="2"/>
  <c r="M27" i="2"/>
  <c r="L27" i="2"/>
  <c r="K27" i="2"/>
  <c r="O26" i="2"/>
  <c r="N26" i="2"/>
  <c r="M26" i="2"/>
  <c r="L26" i="2"/>
  <c r="K26" i="2"/>
  <c r="O25" i="2"/>
  <c r="N25" i="2"/>
  <c r="M25" i="2"/>
  <c r="L25" i="2"/>
  <c r="K25" i="2"/>
  <c r="O24" i="2"/>
  <c r="N24" i="2"/>
  <c r="M24" i="2"/>
  <c r="L24" i="2"/>
  <c r="K24" i="2"/>
  <c r="O23" i="2"/>
  <c r="N23" i="2"/>
  <c r="M23" i="2"/>
  <c r="L23" i="2"/>
  <c r="K23" i="2"/>
  <c r="O22" i="2"/>
  <c r="N22" i="2"/>
  <c r="M22" i="2"/>
  <c r="L22" i="2"/>
  <c r="K22" i="2"/>
  <c r="O21" i="2"/>
  <c r="N21" i="2"/>
  <c r="M21" i="2"/>
  <c r="L21" i="2"/>
  <c r="K21" i="2"/>
  <c r="O20" i="2"/>
  <c r="N20" i="2"/>
  <c r="M20" i="2"/>
  <c r="L20" i="2"/>
  <c r="K20" i="2"/>
  <c r="O19" i="2"/>
  <c r="N19" i="2"/>
  <c r="M19" i="2"/>
  <c r="L19" i="2"/>
  <c r="K19" i="2"/>
  <c r="O18" i="2"/>
  <c r="N18" i="2"/>
  <c r="M18" i="2"/>
  <c r="L18" i="2"/>
  <c r="K18" i="2"/>
  <c r="O17" i="2"/>
  <c r="N17" i="2"/>
  <c r="M17" i="2"/>
  <c r="L17" i="2"/>
  <c r="K17" i="2"/>
  <c r="O16" i="2"/>
  <c r="N16" i="2"/>
  <c r="M16" i="2"/>
  <c r="L16" i="2"/>
  <c r="K16" i="2"/>
  <c r="O15" i="2"/>
  <c r="N15" i="2"/>
  <c r="M15" i="2"/>
  <c r="L15" i="2"/>
  <c r="K15" i="2"/>
  <c r="O14" i="2"/>
  <c r="N14" i="2"/>
  <c r="M14" i="2"/>
  <c r="L14" i="2"/>
  <c r="K14" i="2"/>
  <c r="O13" i="2"/>
  <c r="N13" i="2"/>
  <c r="M13" i="2"/>
  <c r="L13" i="2"/>
  <c r="K13" i="2"/>
  <c r="O12" i="2"/>
  <c r="N12" i="2"/>
  <c r="M12" i="2"/>
  <c r="L12" i="2"/>
  <c r="K12" i="2"/>
  <c r="O11" i="2"/>
  <c r="N11" i="2"/>
  <c r="M11" i="2"/>
  <c r="L11" i="2"/>
  <c r="K11" i="2"/>
  <c r="O10" i="2"/>
  <c r="N10" i="2"/>
  <c r="M10" i="2"/>
  <c r="L10" i="2"/>
  <c r="K10" i="2"/>
  <c r="O9" i="2"/>
  <c r="N9" i="2"/>
  <c r="M9" i="2"/>
  <c r="L9" i="2"/>
  <c r="K9" i="2"/>
  <c r="O8" i="2"/>
  <c r="N8" i="2"/>
  <c r="M8" i="2"/>
  <c r="L8" i="2"/>
  <c r="K8" i="2"/>
  <c r="O7" i="2"/>
  <c r="N7" i="2"/>
  <c r="M7" i="2"/>
  <c r="L7" i="2"/>
  <c r="K7" i="2"/>
  <c r="O6" i="2"/>
  <c r="N6" i="2"/>
  <c r="M6" i="2"/>
  <c r="L6" i="2"/>
  <c r="K6" i="2"/>
  <c r="O5" i="2"/>
  <c r="N5" i="2"/>
  <c r="M5" i="2"/>
  <c r="L5" i="2"/>
  <c r="K5" i="2"/>
  <c r="O4" i="2"/>
  <c r="N4" i="2"/>
  <c r="M4" i="2"/>
  <c r="L4" i="2"/>
  <c r="K4" i="2"/>
  <c r="O3" i="2"/>
  <c r="N3" i="2"/>
  <c r="M3" i="2"/>
  <c r="L3" i="2"/>
  <c r="K3" i="2"/>
  <c r="O2" i="2"/>
  <c r="N2" i="2"/>
  <c r="M2" i="2"/>
  <c r="L2" i="2"/>
  <c r="K2" i="2"/>
  <c r="B5" i="2" l="1"/>
  <c r="B10" i="2"/>
  <c r="B17" i="2"/>
  <c r="B31" i="2"/>
  <c r="B21" i="2"/>
  <c r="B3" i="2"/>
  <c r="B15" i="2"/>
  <c r="B7" i="2"/>
  <c r="B23" i="2"/>
  <c r="B19" i="2"/>
  <c r="B32" i="2"/>
  <c r="B6" i="2"/>
  <c r="B13" i="2"/>
  <c r="B27" i="2"/>
  <c r="B9" i="2"/>
  <c r="B11" i="2"/>
  <c r="B25" i="2"/>
  <c r="B30" i="2"/>
  <c r="B33" i="2"/>
  <c r="B8" i="2"/>
  <c r="B29" i="2"/>
  <c r="B4" i="2"/>
  <c r="B28" i="2"/>
  <c r="B26" i="2"/>
  <c r="B24" i="2"/>
  <c r="B2" i="2"/>
  <c r="B22" i="2"/>
  <c r="B20" i="2"/>
  <c r="B18" i="2"/>
  <c r="B14" i="2"/>
  <c r="B16" i="2"/>
  <c r="B12" i="2"/>
</calcChain>
</file>

<file path=xl/sharedStrings.xml><?xml version="1.0" encoding="utf-8"?>
<sst xmlns="http://schemas.openxmlformats.org/spreadsheetml/2006/main" count="332" uniqueCount="158">
  <si>
    <t>Questions List</t>
  </si>
  <si>
    <t>Truth</t>
  </si>
  <si>
    <t>Question</t>
  </si>
  <si>
    <t>Sample score</t>
  </si>
  <si>
    <t>Truth Score</t>
  </si>
  <si>
    <t>Meaning</t>
  </si>
  <si>
    <t>I believe that my daily activities are meaningful and contribute to a greater good.</t>
  </si>
  <si>
    <t>I am committed to goals or causes that spark my passion and inspire action.</t>
  </si>
  <si>
    <t>My actions and choices consistently reflect what's really important to me.</t>
  </si>
  <si>
    <t>The places where I live, work, and spend time support me in living according to my most important values.</t>
  </si>
  <si>
    <t>I frequently engage in experiences that challenge me and help me grow personally and professionally.</t>
  </si>
  <si>
    <t>I am aware of my personal strengths and actively seek opportunities to apply them in various aspects of my life.</t>
  </si>
  <si>
    <t xml:space="preserve">
I frequently express gratitude and show appreciation to others for their support, kindness, or positive impact on my life</t>
  </si>
  <si>
    <t>I regularly take a moment to acknowledge and appreciate my personal achievements, strengths, or growth.</t>
  </si>
  <si>
    <t>Score</t>
  </si>
  <si>
    <t>Accumulative Score</t>
  </si>
  <si>
    <t>H</t>
  </si>
  <si>
    <t>Delight</t>
  </si>
  <si>
    <t>I engage in creative activities in the community where I live.</t>
  </si>
  <si>
    <t>I actively pursue personal interests and passions that inspire my creativity.</t>
  </si>
  <si>
    <t xml:space="preserve"> </t>
  </si>
  <si>
    <t>I engage in playful &amp; fun activities in the community where I live.</t>
  </si>
  <si>
    <t>In the community where I live, I can easily meet friendly people and join in unplanned activities anytime.</t>
  </si>
  <si>
    <t>I make an effort to surround myself with people and activities that boost my enthusiasm and energy.</t>
  </si>
  <si>
    <t>I maintain a positive attitude even in challenging situations.</t>
  </si>
  <si>
    <t>When I bump into something amazing, I take the time to truly appreciate and think about its meaning.</t>
  </si>
  <si>
    <t xml:space="preserve">       </t>
  </si>
  <si>
    <t>My home and the community where I live have places that spark wonder, amazement, and admiration.</t>
  </si>
  <si>
    <t>L</t>
  </si>
  <si>
    <t>Freedom</t>
  </si>
  <si>
    <t>My home and the community where I live are safe and secure.</t>
  </si>
  <si>
    <t xml:space="preserve">
I feel financially safe </t>
  </si>
  <si>
    <t>I am able to personalize my living spaces to reflect my needs, tastes and preferences.</t>
  </si>
  <si>
    <t>I am able to express my talents, character and quirks in my social circles.</t>
  </si>
  <si>
    <t xml:space="preserve">My home has spaces that can easily adjust to meet the needs of people I live with.
</t>
  </si>
  <si>
    <t>I am open to diverse ideas and enjoy exploring them.</t>
  </si>
  <si>
    <t>I can choose how to adapt my home space to meet my needs and preferences.</t>
  </si>
  <si>
    <t>I feel in control of my life choices and decisions.</t>
  </si>
  <si>
    <t>Engagement</t>
  </si>
  <si>
    <t>In my household, everyone shares responsibility for chores.</t>
  </si>
  <si>
    <t xml:space="preserve">I engage in volunteer work in my community. </t>
  </si>
  <si>
    <t>I feel valued, respected, and able to express my thoughts and opinions in my social environment, regardless of my background, identity, or abilities.</t>
  </si>
  <si>
    <t>My home and community have designs that make spaces and activities easily accessible for everyone, considering people with different abilities.</t>
  </si>
  <si>
    <t>I have people in my community who I trust and can rely on for support.</t>
  </si>
  <si>
    <t>I make an effort to stay connected with people who are important to me</t>
  </si>
  <si>
    <t xml:space="preserve">I welcome people from my social circles to my home for a visit
</t>
  </si>
  <si>
    <t xml:space="preserve">I participate in events or activities in the community where I live. </t>
  </si>
  <si>
    <t>Vitality</t>
  </si>
  <si>
    <t>My daily routine includes activities that promote physical movement, fitness, and healthy eating habits.</t>
  </si>
  <si>
    <t>I regularly schedule and attend medical check-ups to maintain my physical health.</t>
  </si>
  <si>
    <t>I regularly incorporate calming elements, like decluttering, using relaxing scents, and adding plants, into my living space.</t>
  </si>
  <si>
    <t xml:space="preserve">I intentionally set healthy boundaries for the use of digital screens
</t>
  </si>
  <si>
    <t>I prioritize physical comfort in my living spaces by paying attention to factors like natural light, temperature control, noise management, and comfortable, well-designed furniture.</t>
  </si>
  <si>
    <t xml:space="preserve">
I make an effort to keep my living spaces clean, organized, and clutter-free </t>
  </si>
  <si>
    <t>I actively set a side time to relax, reflect, and recharge.</t>
  </si>
  <si>
    <t xml:space="preserve">I actively engage in activities that require my full attention and presence, such as meditation, yoga, or deep breathing exercises. </t>
  </si>
  <si>
    <t>Character Unique Code</t>
  </si>
  <si>
    <t>الاسم  - Name</t>
  </si>
  <si>
    <t>Description</t>
  </si>
  <si>
    <t>Character image</t>
  </si>
  <si>
    <t>"00000"</t>
  </si>
  <si>
    <t>Curious Nomad</t>
  </si>
  <si>
    <t>Low</t>
  </si>
  <si>
    <t>This character struggles with finding meaning, maintaining energy, experiencing personal freedom, engaging deeply in activities, and finding joy in their life. They may feel aimless, overwhelmed by daily challenges, and find it difficult to connect with their passions or purpose.</t>
  </si>
  <si>
    <t>"01001"</t>
  </si>
  <si>
    <t>Distracted Connoisseur</t>
  </si>
  <si>
    <t>High</t>
  </si>
  <si>
    <t>This character finds joy and deep engagement in various activities, but struggles with finding meaning, maintaining energy, and experiencing personal freedom. They might enjoy exploring new hobbies or interests, but lack a clear sense of purpose and struggle with keeping up their energy levels and autonomy.</t>
  </si>
  <si>
    <t>"00001"</t>
  </si>
  <si>
    <t>Weary Diligent</t>
  </si>
  <si>
    <t>This character is deeply engaged in their activities but struggles with finding meaning, maintaining energy, experiencing personal freedom, and finding joy in their life. They might work hard and commit to tasks but lack a sense of purpose, struggle with fatigue, and feel restricted in their choices.</t>
  </si>
  <si>
    <t>"01110"</t>
  </si>
  <si>
    <t>Vibrant Free Spirit</t>
  </si>
  <si>
    <t>This character has high vitality, personal freedom, and experiences moments of joy, but struggles to find a sense of purpose and engagement in their life. They might enjoy the autonomy to make their own choices and pursue various interests but have difficulty committing to long-term goals or relationships</t>
  </si>
  <si>
    <t>"00010"</t>
  </si>
  <si>
    <t>Aimless Wanderer</t>
  </si>
  <si>
    <t>This character enjoys personal freedom but struggles with finding meaning, maintaining energy, deeply engaging in activities, and finding joy in their life. They might appreciate the ability to make their own choices but lack direction, motivation, and satisfaction in their experiences.</t>
  </si>
  <si>
    <t>"01010"</t>
  </si>
  <si>
    <t>Carefree Enthusiast</t>
  </si>
  <si>
    <t>This character enjoys personal freedom and experiences moments of joy, but struggles to find a sense of purpose, maintain their energy levels, and deeply engage in activities. They might find pleasure in various tasks and experiences but lack a sense of direction and commitment.</t>
  </si>
  <si>
    <t>"00011"</t>
  </si>
  <si>
    <t>Persistent Wanderer</t>
  </si>
  <si>
    <t>This character enjoys personal freedom and is deeply engaged in activities, but struggles with finding meaning, maintaining energy, and experiencing delight in their life. They might be committed to their tasks and responsibilities but lack a sense of purpose, struggle with fatigue, and find it difficult to enjoy their experiences.</t>
  </si>
  <si>
    <t>"01011"</t>
  </si>
  <si>
    <t>Passionate Dabbler</t>
  </si>
  <si>
    <t>This character enjoys personal freedom, deep engagement in activities, and experiences moments of joy, but struggles to find a sense of purpose and maintain their energy levels. They might be passionate about various interests and experiences but lack a clear sense of direction and find it challenging to maintain a healthy lifestyle and personal autonomy</t>
  </si>
  <si>
    <t>"00100"</t>
  </si>
  <si>
    <t>Energetic Drifter</t>
  </si>
  <si>
    <t>This character has high vitality and energy but struggles with finding meaning, personal freedom, deep engagement, and experiencing delight in their life. They may be physically active and maintain a healthy lifestyle but lack a clear sense of purpose, feel constrained in their choices, and struggle to connect deeply with their interests and passions.</t>
  </si>
  <si>
    <t>"01100"</t>
  </si>
  <si>
    <t>Spirited Enjoyer</t>
  </si>
  <si>
    <t>This character has high vitality and experiences moments of joy but struggles with finding meaning, personal freedom, and deep engagement in their life. They may enjoy various pleasurable experiences and maintain a healthy lifestyle but lack a sense of purpose, feel restricted in their choices, and have difficulty committing to long-term goals or relationships.</t>
  </si>
  <si>
    <t>"00101"</t>
  </si>
  <si>
    <t>Determined Striver</t>
  </si>
  <si>
    <t>This character has high vitality and deep engagement in activities but struggles with finding meaning, personal freedom, and experiencing delight in their life. They may be committed to their tasks and responsibilities and maintain a healthy lifestyle but lack a sense of purpose, feel constrained in their choices, and struggle to find joy in their experiences.</t>
  </si>
  <si>
    <t>"01101"</t>
  </si>
  <si>
    <t>Joyful Dynamo</t>
  </si>
  <si>
    <t>This character has high vitality, deep engagement, and experiences moments of joy, but struggles with finding meaning and personal freedom in their life. They may be passionate about their interests and maintain a healthy lifestyle but lack a clear sense of purpose and feel restricted in their choices, limiting their potential for personal growth.</t>
  </si>
  <si>
    <t>"00110"</t>
  </si>
  <si>
    <t>Independent Sprinter</t>
  </si>
  <si>
    <t>This character has high vitality and personal freedom but struggles with finding meaning, deep engagement, and experiencing delight in their life. They may enjoy the autonomy to make their own choices and pursue various interests but lack a sense of purpose, struggle to commit to long-term goals, and find it difficult to enjoy their experiences.</t>
  </si>
  <si>
    <t>"01000"</t>
  </si>
  <si>
    <t> Fleeting Joy Chaser</t>
  </si>
  <si>
    <t>This character has high vitality, personal freedom, and experiences moments of joy, but struggles with finding meaning and deep engagement in their life. They may enjoy exploring new hobbies, maintaining a healthy lifestyle, and making their own choices, but lack a clear sense of purpose and have difficulty committing to long-term goals or relationships.</t>
  </si>
  <si>
    <t>"00111"</t>
  </si>
  <si>
    <t>Vibrant Seeker</t>
  </si>
  <si>
    <t>This character has high vitality, personal freedom, and deep engagement in activities but struggles with finding meaning and experiencing delight in their life. They may be committed to their tasks and responsibilities, enjoy the autonomy to make their own choices, and maintain a healthy lifestyle, but lack a sense of purpose and struggle to find joy in their experiences.</t>
  </si>
  <si>
    <t>"01111"</t>
  </si>
  <si>
    <t>Thriving Adventurer</t>
  </si>
  <si>
    <t>This character has high vitality, personal freedom, deep engagement, and experiences moments of joy but struggles with finding meaning in their life. They may be passionate about their interests, maintain a healthy lifestyle, enjoy the autonomy to make their own choices, and find pleasure in various tasks and experiences, but lack a clear sense of purpose and direction.</t>
  </si>
  <si>
    <t>"10000"</t>
  </si>
  <si>
    <t>Purposeful Stumbler</t>
  </si>
  <si>
    <t>This character has a strong sense of purpose and meaning in life but struggles with low vitality, personal freedom, deep engagement, and experiencing delight. They may have a clear mission and values but struggle with maintaining energy levels, feeling constrained in their choices, and finding joy and deep connection to their interests and passions.</t>
  </si>
  <si>
    <t>"11000"</t>
  </si>
  <si>
    <t>Fulfilled Dreamer</t>
  </si>
  <si>
    <t>This character has a strong sense of purpose and experiences moments of joy but struggles with low vitality, personal freedom, and deep engagement in their life. They may have a clear mission and values, and find pleasure in various experiences, but have difficulty maintaining energy levels, feeling restricted in their choices, and committing to long-term goals or relationships.</t>
  </si>
  <si>
    <t>"10001"</t>
  </si>
  <si>
    <t>Resolute Anchor</t>
  </si>
  <si>
    <t>This character has a strong sense of purpose and deep engagement in activities but struggles with low vitality, personal freedom, and experiencing delight in their life. They may be committed to their tasks and responsibilities, and driven by their values, but find it difficult to maintain energy levels, feel constrained in their choices, and struggle to find joy in their experiences.</t>
  </si>
  <si>
    <t>"11001"</t>
  </si>
  <si>
    <t>Devoted Optimist</t>
  </si>
  <si>
    <t>This character has a strong sense of purpose, deep engagement, and experiences moments of joy but struggles with low vitality and personal freedom. They may be passionate about their interests, find pleasure in various tasks and experiences, and driven by their values, but have difficulty maintaining energy levels and feeling restricted in their choices, limiting their potential for personal growth.</t>
  </si>
  <si>
    <t>"10010"</t>
  </si>
  <si>
    <t>Unbound Visionary</t>
  </si>
  <si>
    <t>This character has a strong sense of purpose and high personal freedom but struggles with low vitality, deep engagement, and experiencing delight in their life. They may have a clear mission, values, and enjoy the autonomy to make their own choices, but struggle with maintaining energy levels, committing to long-term goals, and finding joy in their experiences</t>
  </si>
  <si>
    <t>"11010"</t>
  </si>
  <si>
    <t>Inspired Wanderer</t>
  </si>
  <si>
    <t>This character has a strong sense of purpose, personal freedom, and experiences moments of joy, but struggles with low vitality and deep engagement in their life. They may have a clear mission and values, enjoy the autonomy to make their own choices, and find pleasure in various experiences, but have difficulty maintaining energy levels and committing to long-term goals or relationships.</t>
  </si>
  <si>
    <t>"10011"</t>
  </si>
  <si>
    <t>Dedicated Pathfinder</t>
  </si>
  <si>
    <t>This character has a strong sense of purpose, personal freedom, and deep engagement in activities but struggles with low vitality and experiencing delight in their life. They may be committed to their tasks and responsibilities, driven by their values, and enjoy the autonomy to make their own choices, but struggle with maintaining energy levels and finding joy in their experiences.</t>
  </si>
  <si>
    <t>"11011"</t>
  </si>
  <si>
    <t>Enlightened Explorer</t>
  </si>
  <si>
    <t>This character has a strong sense of purpose, personal freedom, deep engagement, and experiences moments of joy but struggles with low vitality. They may be passionate about their interests, driven by their values, enjoy the autonomy to make their own choices, and find pleasure in various tasks and experiences, but have difficulty maintaining energy levels and staying physically active.</t>
  </si>
  <si>
    <t>"10100"</t>
  </si>
  <si>
    <t>Driven Conqueror</t>
  </si>
  <si>
    <t>This character has a strong sense of purpose and high vitality but struggles with personal freedom, deep engagement, and experiencing delight in their life. They may be physically active, maintain a healthy lifestyle, and have a clear mission and values, but feel constrained in their choices, struggle to connect deeply with their interests and passions, and find it difficult to enjoy their experiences.</t>
  </si>
  <si>
    <t>"11100"</t>
  </si>
  <si>
    <t>Spirited Seeker</t>
  </si>
  <si>
    <t>This character has a strong sense of purpose, high vitality, and experiences moments of joy but struggles with personal freedom and engagement in their life. They may be passionate about their values, maintain a healthy lifestyle, and find pleasure in various experiences, but feel constrained in their choices and have difficulty committing to long-term goals or relationships.</t>
  </si>
  <si>
    <t>"10101"</t>
  </si>
  <si>
    <t>Committed Dynamo</t>
  </si>
  <si>
    <t>This character has a strong sense of purpose, high vitality, and deep engagement in activities but struggles with personal freedom and experiencing delight in their life. They may be physically active, maintain a healthy lifestyle, and be committed to their tasks and responsibilities, but feel constrained in their choices and struggle to find joy in their experiences.</t>
  </si>
  <si>
    <t>"11101"</t>
  </si>
  <si>
    <t>Energetic Champion</t>
  </si>
  <si>
    <t>This character has a strong sense of purpose, high vitality, deep engagement, and experiences moments of joy, but struggles with personal freedom. They may be passionate about their interests, maintain a healthy lifestyle, and find pleasure in various tasks and experiences, but feel limited in their choices, which may restrict their potential for personal growth.</t>
  </si>
  <si>
    <t>"10110"</t>
  </si>
  <si>
    <t>Vibrant Navigator</t>
  </si>
  <si>
    <t>This character has a strong sense of purpose, high vitality, and personal freedom but struggles with deep engagement and experiencing delight in their life. They may have a clear mission and values, maintain a healthy lifestyle, and enjoy the autonomy to make their own choices, but find it difficult to commit to long-term goals or relationships and struggle to find joy in their experiences.</t>
  </si>
  <si>
    <t>"11110"</t>
  </si>
  <si>
    <t>Joyful Adventurer</t>
  </si>
  <si>
    <t>This character has a strong sense of purpose, high vitality, personal freedom, and experiences moments of joy, but struggles with deep engagement in their life. They may have a clear mission and values, maintain a healthy lifestyle, enjoy the autonomy to make their own choices, and find pleasure in various experiences, but have difficulty committing to long-term goals or relationships.</t>
  </si>
  <si>
    <t>"10111"</t>
  </si>
  <si>
    <t>Harmonious Achiever</t>
  </si>
  <si>
    <t>This character has a strong sense of purpose, high vitality, personal freedom, and deep engagement in activities but struggles with experiencing delight in their life. They may be committed to their tasks and responsibilities, driven by their values, maintain a healthy lifestyle, and enjoy the autonomy to make their own choices, but struggle to find joy in their experiences.</t>
  </si>
  <si>
    <t>"11111"</t>
  </si>
  <si>
    <t>Radiant Fulfiller</t>
  </si>
  <si>
    <t>This character embodies all aspects of the 5 truths of happiness, with a strong sense of purpose, high vitality, personal freedom, deep engagement, and experiencing moments of joy in their life. They are driven by their values, maintain a healthy lifestyle, enjoy the autonomy to make their own choices, passionately pursue their interests, and find pleasure in various tasks and experiences, resulting in a fulfilling and well-rounded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</si>
</sst>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Aptos Narrow"/>
      <family val="2"/>
      <scheme val="minor"/>
    </font>
    <font>
      <sz val="12"/>
      <color rgb="FF000000"/>
      <name val="Aptos Narrow"/>
      <family val="2"/>
      <scheme val="minor"/>
    </font>
    <font>
      <b/>
      <sz val="10"/>
      <color rgb="FFFFFFFF"/>
      <name val="Noto Naskh Arabic"/>
    </font>
    <font>
      <b/>
      <sz val="10"/>
      <name val="Noto Naskh Arabic"/>
    </font>
    <font>
      <sz val="10"/>
      <color rgb="FF000000"/>
      <name val="Arial"/>
      <family val="2"/>
    </font>
    <font>
      <sz val="10"/>
      <name val="Noto Naskh Arabic"/>
    </font>
    <font>
      <b/>
      <sz val="10"/>
      <color rgb="FF000000"/>
      <name val="Arial"/>
      <family val="2"/>
    </font>
    <font>
      <b/>
      <sz val="12"/>
      <color rgb="FF000000"/>
      <name val="Aptos Narrow"/>
      <family val="2"/>
      <scheme val="minor"/>
    </font>
    <font>
      <sz val="12"/>
      <color theme="0"/>
      <name val="Aptos Narrow"/>
      <family val="2"/>
      <scheme val="minor"/>
    </font>
    <font>
      <sz val="12"/>
      <color rgb="FFFF0000"/>
      <name val="Aptos Narrow"/>
      <family val="2"/>
      <scheme val="minor"/>
    </font>
  </fonts>
  <fills count="14">
    <fill>
      <patternFill patternType="none"/>
    </fill>
    <fill>
      <patternFill patternType="gray125"/>
    </fill>
    <fill>
      <patternFill patternType="solid">
        <fgColor rgb="FF000000"/>
        <bgColor rgb="FF000000"/>
      </patternFill>
    </fill>
    <fill>
      <patternFill patternType="solid">
        <fgColor theme="8"/>
        <bgColor rgb="FF000000"/>
      </patternFill>
    </fill>
    <fill>
      <patternFill patternType="solid">
        <fgColor theme="8"/>
        <bgColor indexed="64"/>
      </patternFill>
    </fill>
    <fill>
      <patternFill patternType="solid">
        <fgColor rgb="FF92D050"/>
        <bgColor indexed="64"/>
      </patternFill>
    </fill>
    <fill>
      <patternFill patternType="solid">
        <fgColor rgb="FFD9EAD3"/>
        <bgColor rgb="FFD9EAD3"/>
      </patternFill>
    </fill>
    <fill>
      <patternFill patternType="solid">
        <fgColor rgb="FFF4CCCC"/>
        <bgColor rgb="FFF4CCCC"/>
      </patternFill>
    </fill>
    <fill>
      <patternFill patternType="solid">
        <fgColor theme="1"/>
        <bgColor indexed="64"/>
      </patternFill>
    </fill>
    <fill>
      <patternFill patternType="solid">
        <fgColor theme="8" tint="0.59999389629810485"/>
        <bgColor indexed="64"/>
      </patternFill>
    </fill>
    <fill>
      <patternFill patternType="solid">
        <fgColor rgb="FFFFFF00"/>
        <bgColor indexed="64"/>
      </patternFill>
    </fill>
    <fill>
      <patternFill patternType="solid">
        <fgColor theme="4"/>
        <bgColor indexed="64"/>
      </patternFill>
    </fill>
    <fill>
      <patternFill patternType="solid">
        <fgColor rgb="FFFFC000"/>
        <bgColor indexed="64"/>
      </patternFill>
    </fill>
    <fill>
      <patternFill patternType="solid">
        <fgColor rgb="FF00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46BDC6"/>
      </left>
      <right style="medium">
        <color rgb="FF46BDC6"/>
      </right>
      <top style="medium">
        <color rgb="FF46BDC6"/>
      </top>
      <bottom style="medium">
        <color rgb="FF46BDC6"/>
      </bottom>
      <diagonal/>
    </border>
    <border>
      <left style="medium">
        <color rgb="FFCCCCCC"/>
      </left>
      <right style="medium">
        <color rgb="FF46BDC6"/>
      </right>
      <top style="medium">
        <color rgb="FF46BDC6"/>
      </top>
      <bottom style="medium">
        <color rgb="FF46BDC6"/>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0"/>
    <xf numFmtId="9" fontId="1" fillId="0" borderId="0" applyFont="0" applyFill="0" applyBorder="0" applyAlignment="0" applyProtection="0"/>
  </cellStyleXfs>
  <cellXfs count="59">
    <xf numFmtId="0" fontId="0" fillId="0" borderId="0" xfId="0"/>
    <xf numFmtId="0" fontId="2" fillId="2" borderId="1" xfId="1" applyFont="1" applyFill="1" applyBorder="1" applyAlignment="1">
      <alignment horizontal="center" vertical="center"/>
    </xf>
    <xf numFmtId="0" fontId="2" fillId="3" borderId="1" xfId="1" applyFont="1" applyFill="1" applyBorder="1" applyAlignment="1">
      <alignment horizontal="center" vertical="center"/>
    </xf>
    <xf numFmtId="0" fontId="1" fillId="0" borderId="0" xfId="1"/>
    <xf numFmtId="0" fontId="3" fillId="0" borderId="1" xfId="1" applyFont="1" applyBorder="1" applyAlignment="1">
      <alignment horizontal="center" vertical="center" wrapText="1"/>
    </xf>
    <xf numFmtId="0" fontId="4" fillId="4" borderId="1" xfId="1" applyFont="1" applyFill="1" applyBorder="1" applyAlignment="1">
      <alignment horizontal="center" vertical="center"/>
    </xf>
    <xf numFmtId="0" fontId="4" fillId="5" borderId="1" xfId="1" applyFont="1" applyFill="1" applyBorder="1" applyAlignment="1">
      <alignment horizontal="center" vertical="center"/>
    </xf>
    <xf numFmtId="0" fontId="5" fillId="6" borderId="1" xfId="1" applyFont="1" applyFill="1" applyBorder="1" applyAlignment="1">
      <alignment horizontal="center" vertical="center" wrapText="1"/>
    </xf>
    <xf numFmtId="0" fontId="5" fillId="7" borderId="1" xfId="1" applyFont="1" applyFill="1" applyBorder="1" applyAlignment="1">
      <alignment horizontal="center" vertical="center" wrapText="1"/>
    </xf>
    <xf numFmtId="0" fontId="5" fillId="0" borderId="1" xfId="1" applyFont="1" applyBorder="1" applyAlignment="1">
      <alignment horizontal="center" vertical="center" wrapText="1" readingOrder="2"/>
    </xf>
    <xf numFmtId="0" fontId="4" fillId="0" borderId="1" xfId="1" applyFont="1" applyBorder="1" applyAlignment="1">
      <alignment horizontal="center" vertical="center"/>
    </xf>
    <xf numFmtId="0" fontId="1" fillId="0" borderId="1" xfId="1" applyBorder="1"/>
    <xf numFmtId="0" fontId="1" fillId="4" borderId="0" xfId="1" applyFill="1"/>
    <xf numFmtId="0" fontId="1" fillId="0" borderId="0" xfId="1" applyAlignment="1">
      <alignment horizontal="center" vertical="center"/>
    </xf>
    <xf numFmtId="0" fontId="1" fillId="0" borderId="0" xfId="1" applyAlignment="1">
      <alignment horizontal="center"/>
    </xf>
    <xf numFmtId="0" fontId="7" fillId="0" borderId="0" xfId="1" applyFont="1" applyAlignment="1">
      <alignment horizontal="center"/>
    </xf>
    <xf numFmtId="0" fontId="8" fillId="8" borderId="3" xfId="1" applyFont="1" applyFill="1" applyBorder="1" applyAlignment="1">
      <alignment horizontal="center" vertical="center"/>
    </xf>
    <xf numFmtId="0" fontId="8" fillId="8" borderId="3" xfId="1" applyFont="1" applyFill="1" applyBorder="1"/>
    <xf numFmtId="0" fontId="8" fillId="8" borderId="4" xfId="1" applyFont="1" applyFill="1" applyBorder="1"/>
    <xf numFmtId="1" fontId="8" fillId="8" borderId="4" xfId="1" applyNumberFormat="1" applyFont="1" applyFill="1" applyBorder="1"/>
    <xf numFmtId="1" fontId="8" fillId="8" borderId="4" xfId="2" applyNumberFormat="1" applyFont="1" applyFill="1" applyBorder="1"/>
    <xf numFmtId="1" fontId="8" fillId="8" borderId="5" xfId="2" applyNumberFormat="1" applyFont="1" applyFill="1" applyBorder="1"/>
    <xf numFmtId="0" fontId="1" fillId="10" borderId="7" xfId="1" applyFill="1" applyBorder="1"/>
    <xf numFmtId="0" fontId="1" fillId="10" borderId="1" xfId="1" applyFill="1" applyBorder="1"/>
    <xf numFmtId="0" fontId="1" fillId="11" borderId="1" xfId="1" applyFill="1" applyBorder="1"/>
    <xf numFmtId="0" fontId="1" fillId="10" borderId="8" xfId="1" applyFill="1" applyBorder="1"/>
    <xf numFmtId="0" fontId="6" fillId="0" borderId="9" xfId="1" applyFont="1" applyBorder="1" applyAlignment="1">
      <alignment horizontal="right" wrapText="1"/>
    </xf>
    <xf numFmtId="0" fontId="6" fillId="0" borderId="10" xfId="1" applyFont="1" applyBorder="1" applyAlignment="1">
      <alignment horizontal="right" wrapText="1"/>
    </xf>
    <xf numFmtId="0" fontId="1" fillId="11" borderId="8" xfId="1" applyFill="1" applyBorder="1"/>
    <xf numFmtId="0" fontId="1" fillId="10" borderId="0" xfId="1" applyFill="1" applyAlignment="1">
      <alignment horizontal="center"/>
    </xf>
    <xf numFmtId="0" fontId="7" fillId="10" borderId="0" xfId="1" applyFont="1" applyFill="1" applyAlignment="1">
      <alignment horizontal="center"/>
    </xf>
    <xf numFmtId="0" fontId="1" fillId="0" borderId="11" xfId="1" applyBorder="1"/>
    <xf numFmtId="0" fontId="1" fillId="0" borderId="12" xfId="1" applyBorder="1"/>
    <xf numFmtId="0" fontId="1" fillId="0" borderId="13" xfId="1" applyBorder="1"/>
    <xf numFmtId="0" fontId="7" fillId="0" borderId="0" xfId="1" applyFont="1"/>
    <xf numFmtId="164" fontId="0" fillId="0" borderId="0" xfId="2" applyNumberFormat="1" applyFont="1" applyFill="1" applyAlignment="1">
      <alignment horizontal="center"/>
    </xf>
    <xf numFmtId="0" fontId="7" fillId="12" borderId="0" xfId="1" applyFont="1" applyFill="1" applyAlignment="1">
      <alignment horizontal="center"/>
    </xf>
    <xf numFmtId="0" fontId="1" fillId="0" borderId="3" xfId="1" applyBorder="1"/>
    <xf numFmtId="0" fontId="1" fillId="0" borderId="4" xfId="1" applyBorder="1"/>
    <xf numFmtId="0" fontId="9" fillId="0" borderId="4" xfId="1" applyFont="1" applyBorder="1"/>
    <xf numFmtId="0" fontId="1" fillId="10" borderId="4" xfId="1" applyFill="1" applyBorder="1"/>
    <xf numFmtId="0" fontId="1" fillId="0" borderId="5" xfId="1" applyBorder="1"/>
    <xf numFmtId="0" fontId="1" fillId="0" borderId="7" xfId="1" applyBorder="1"/>
    <xf numFmtId="0" fontId="9" fillId="10" borderId="1" xfId="1" applyFont="1" applyFill="1" applyBorder="1"/>
    <xf numFmtId="0" fontId="1" fillId="0" borderId="8" xfId="1" applyBorder="1"/>
    <xf numFmtId="0" fontId="9" fillId="0" borderId="1" xfId="1" applyFont="1" applyBorder="1"/>
    <xf numFmtId="0" fontId="6" fillId="10" borderId="10" xfId="1" applyFont="1" applyFill="1" applyBorder="1" applyAlignment="1">
      <alignment horizontal="right" wrapText="1"/>
    </xf>
    <xf numFmtId="0" fontId="9" fillId="0" borderId="8" xfId="1" applyFont="1" applyBorder="1"/>
    <xf numFmtId="9" fontId="7" fillId="0" borderId="0" xfId="2" applyFont="1"/>
    <xf numFmtId="9" fontId="0" fillId="0" borderId="0" xfId="2" applyFont="1" applyAlignment="1">
      <alignment horizontal="center"/>
    </xf>
    <xf numFmtId="0" fontId="1" fillId="10" borderId="5" xfId="1" applyFill="1" applyBorder="1"/>
    <xf numFmtId="0" fontId="1" fillId="0" borderId="2" xfId="1" applyBorder="1"/>
    <xf numFmtId="0" fontId="6" fillId="13" borderId="10" xfId="1" applyFont="1" applyFill="1" applyBorder="1" applyAlignment="1">
      <alignment horizontal="right" wrapText="1"/>
    </xf>
    <xf numFmtId="0" fontId="1" fillId="10" borderId="12" xfId="1" applyFill="1" applyBorder="1"/>
    <xf numFmtId="0" fontId="1" fillId="0" borderId="14" xfId="1" applyBorder="1"/>
    <xf numFmtId="0" fontId="1" fillId="0" borderId="15" xfId="1" applyBorder="1"/>
    <xf numFmtId="0" fontId="1" fillId="10" borderId="13" xfId="1" applyFill="1" applyBorder="1"/>
    <xf numFmtId="0" fontId="1" fillId="9" borderId="6" xfId="1" applyFill="1" applyBorder="1" applyAlignment="1">
      <alignment horizontal="center" vertical="center"/>
    </xf>
    <xf numFmtId="0" fontId="1" fillId="9" borderId="0" xfId="1" applyFill="1" applyAlignment="1">
      <alignment horizontal="center" vertical="center"/>
    </xf>
  </cellXfs>
  <cellStyles count="3">
    <cellStyle name="Normal" xfId="0" builtinId="0"/>
    <cellStyle name="Normal 2" xfId="1" xr:uid="{D6D440F3-22F6-42AA-88FD-5A485D626171}"/>
    <cellStyle name="Percent 2" xfId="2" xr:uid="{342B86DE-A4C9-448F-B6AA-1B16B17C3D0D}"/>
  </cellStyles>
  <dxfs count="5">
    <dxf>
      <font>
        <color rgb="FF9C0006"/>
      </font>
      <fill>
        <patternFill>
          <bgColor rgb="FFFFC7CE"/>
        </patternFill>
      </fill>
    </dxf>
    <dxf>
      <fill>
        <patternFill>
          <bgColor theme="9" tint="0.79998168889431442"/>
        </patternFill>
      </fill>
    </dxf>
    <dxf>
      <fill>
        <patternFill>
          <bgColor theme="5" tint="0.39994506668294322"/>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15</xdr:col>
      <xdr:colOff>552450</xdr:colOff>
      <xdr:row>15</xdr:row>
      <xdr:rowOff>0</xdr:rowOff>
    </xdr:from>
    <xdr:to>
      <xdr:col>15</xdr:col>
      <xdr:colOff>2076453</xdr:colOff>
      <xdr:row>16</xdr:row>
      <xdr:rowOff>884940</xdr:rowOff>
    </xdr:to>
    <xdr:pic>
      <xdr:nvPicPr>
        <xdr:cNvPr id="2" name="Picture 1">
          <a:extLst>
            <a:ext uri="{FF2B5EF4-FFF2-40B4-BE49-F238E27FC236}">
              <a16:creationId xmlns:a16="http://schemas.microsoft.com/office/drawing/2014/main" id="{0FC94ADC-FF2D-4A8D-B010-6F5C986A1C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20750" y="39243000"/>
          <a:ext cx="1524003" cy="2154940"/>
        </a:xfrm>
        <a:prstGeom prst="rect">
          <a:avLst/>
        </a:prstGeom>
      </xdr:spPr>
    </xdr:pic>
    <xdr:clientData/>
  </xdr:twoCellAnchor>
  <xdr:twoCellAnchor editAs="oneCell">
    <xdr:from>
      <xdr:col>15</xdr:col>
      <xdr:colOff>838335</xdr:colOff>
      <xdr:row>13</xdr:row>
      <xdr:rowOff>1009651</xdr:rowOff>
    </xdr:from>
    <xdr:to>
      <xdr:col>15</xdr:col>
      <xdr:colOff>1758949</xdr:colOff>
      <xdr:row>15</xdr:row>
      <xdr:rowOff>88900</xdr:rowOff>
    </xdr:to>
    <xdr:pic>
      <xdr:nvPicPr>
        <xdr:cNvPr id="3" name="Picture 2">
          <a:extLst>
            <a:ext uri="{FF2B5EF4-FFF2-40B4-BE49-F238E27FC236}">
              <a16:creationId xmlns:a16="http://schemas.microsoft.com/office/drawing/2014/main" id="{377A397F-5DB9-408C-9810-35F34D2C14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906635" y="36461701"/>
          <a:ext cx="920614" cy="1301749"/>
        </a:xfrm>
        <a:prstGeom prst="rect">
          <a:avLst/>
        </a:prstGeom>
      </xdr:spPr>
    </xdr:pic>
    <xdr:clientData/>
  </xdr:twoCellAnchor>
  <xdr:twoCellAnchor editAs="oneCell">
    <xdr:from>
      <xdr:col>15</xdr:col>
      <xdr:colOff>946720</xdr:colOff>
      <xdr:row>1</xdr:row>
      <xdr:rowOff>101601</xdr:rowOff>
    </xdr:from>
    <xdr:to>
      <xdr:col>15</xdr:col>
      <xdr:colOff>1618455</xdr:colOff>
      <xdr:row>1</xdr:row>
      <xdr:rowOff>914400</xdr:rowOff>
    </xdr:to>
    <xdr:pic>
      <xdr:nvPicPr>
        <xdr:cNvPr id="4" name="Picture 3">
          <a:extLst>
            <a:ext uri="{FF2B5EF4-FFF2-40B4-BE49-F238E27FC236}">
              <a16:creationId xmlns:a16="http://schemas.microsoft.com/office/drawing/2014/main" id="{EAFBAD6E-22F3-4D36-BBD1-2F23B7F5DEC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015020" y="298451"/>
          <a:ext cx="671735" cy="812799"/>
        </a:xfrm>
        <a:prstGeom prst="rect">
          <a:avLst/>
        </a:prstGeom>
      </xdr:spPr>
    </xdr:pic>
    <xdr:clientData/>
  </xdr:twoCellAnchor>
  <xdr:twoCellAnchor editAs="oneCell">
    <xdr:from>
      <xdr:col>15</xdr:col>
      <xdr:colOff>814793</xdr:colOff>
      <xdr:row>1</xdr:row>
      <xdr:rowOff>927101</xdr:rowOff>
    </xdr:from>
    <xdr:to>
      <xdr:col>15</xdr:col>
      <xdr:colOff>1739899</xdr:colOff>
      <xdr:row>3</xdr:row>
      <xdr:rowOff>171451</xdr:rowOff>
    </xdr:to>
    <xdr:pic>
      <xdr:nvPicPr>
        <xdr:cNvPr id="5" name="Picture 4">
          <a:extLst>
            <a:ext uri="{FF2B5EF4-FFF2-40B4-BE49-F238E27FC236}">
              <a16:creationId xmlns:a16="http://schemas.microsoft.com/office/drawing/2014/main" id="{B20538B8-FD83-4D5E-825D-F173F26C03F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883093" y="1123951"/>
          <a:ext cx="925106" cy="1308100"/>
        </a:xfrm>
        <a:prstGeom prst="rect">
          <a:avLst/>
        </a:prstGeom>
      </xdr:spPr>
    </xdr:pic>
    <xdr:clientData/>
  </xdr:twoCellAnchor>
  <xdr:twoCellAnchor editAs="oneCell">
    <xdr:from>
      <xdr:col>15</xdr:col>
      <xdr:colOff>953700</xdr:colOff>
      <xdr:row>4</xdr:row>
      <xdr:rowOff>0</xdr:rowOff>
    </xdr:from>
    <xdr:to>
      <xdr:col>15</xdr:col>
      <xdr:colOff>1878805</xdr:colOff>
      <xdr:row>5</xdr:row>
      <xdr:rowOff>355599</xdr:rowOff>
    </xdr:to>
    <xdr:pic>
      <xdr:nvPicPr>
        <xdr:cNvPr id="6" name="Picture 5">
          <a:extLst>
            <a:ext uri="{FF2B5EF4-FFF2-40B4-BE49-F238E27FC236}">
              <a16:creationId xmlns:a16="http://schemas.microsoft.com/office/drawing/2014/main" id="{8F54AA0F-9BFD-4DF5-9E58-486AD6A513B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022000" y="3835401"/>
          <a:ext cx="925105" cy="1308099"/>
        </a:xfrm>
        <a:prstGeom prst="rect">
          <a:avLst/>
        </a:prstGeom>
      </xdr:spPr>
    </xdr:pic>
    <xdr:clientData/>
  </xdr:twoCellAnchor>
  <xdr:twoCellAnchor editAs="oneCell">
    <xdr:from>
      <xdr:col>15</xdr:col>
      <xdr:colOff>831850</xdr:colOff>
      <xdr:row>5</xdr:row>
      <xdr:rowOff>0</xdr:rowOff>
    </xdr:from>
    <xdr:to>
      <xdr:col>15</xdr:col>
      <xdr:colOff>1841499</xdr:colOff>
      <xdr:row>6</xdr:row>
      <xdr:rowOff>475144</xdr:rowOff>
    </xdr:to>
    <xdr:pic>
      <xdr:nvPicPr>
        <xdr:cNvPr id="7" name="Picture 6">
          <a:extLst>
            <a:ext uri="{FF2B5EF4-FFF2-40B4-BE49-F238E27FC236}">
              <a16:creationId xmlns:a16="http://schemas.microsoft.com/office/drawing/2014/main" id="{F8D7AECF-0E25-432C-868D-0609412DA59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900150" y="6532082"/>
          <a:ext cx="1009649" cy="1427644"/>
        </a:xfrm>
        <a:prstGeom prst="rect">
          <a:avLst/>
        </a:prstGeom>
      </xdr:spPr>
    </xdr:pic>
    <xdr:clientData/>
  </xdr:twoCellAnchor>
  <xdr:twoCellAnchor editAs="oneCell">
    <xdr:from>
      <xdr:col>15</xdr:col>
      <xdr:colOff>486488</xdr:colOff>
      <xdr:row>6</xdr:row>
      <xdr:rowOff>0</xdr:rowOff>
    </xdr:from>
    <xdr:to>
      <xdr:col>15</xdr:col>
      <xdr:colOff>2190749</xdr:colOff>
      <xdr:row>8</xdr:row>
      <xdr:rowOff>346075</xdr:rowOff>
    </xdr:to>
    <xdr:pic>
      <xdr:nvPicPr>
        <xdr:cNvPr id="8" name="Picture 7">
          <a:extLst>
            <a:ext uri="{FF2B5EF4-FFF2-40B4-BE49-F238E27FC236}">
              <a16:creationId xmlns:a16="http://schemas.microsoft.com/office/drawing/2014/main" id="{EAFD6F9A-21D1-45D3-A565-7EE48C48779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554788" y="9296400"/>
          <a:ext cx="1704261" cy="2409825"/>
        </a:xfrm>
        <a:prstGeom prst="rect">
          <a:avLst/>
        </a:prstGeom>
      </xdr:spPr>
    </xdr:pic>
    <xdr:clientData/>
  </xdr:twoCellAnchor>
  <xdr:twoCellAnchor editAs="oneCell">
    <xdr:from>
      <xdr:col>15</xdr:col>
      <xdr:colOff>590550</xdr:colOff>
      <xdr:row>7</xdr:row>
      <xdr:rowOff>0</xdr:rowOff>
    </xdr:from>
    <xdr:to>
      <xdr:col>15</xdr:col>
      <xdr:colOff>2203450</xdr:colOff>
      <xdr:row>8</xdr:row>
      <xdr:rowOff>98425</xdr:rowOff>
    </xdr:to>
    <xdr:pic>
      <xdr:nvPicPr>
        <xdr:cNvPr id="9" name="Picture 8">
          <a:extLst>
            <a:ext uri="{FF2B5EF4-FFF2-40B4-BE49-F238E27FC236}">
              <a16:creationId xmlns:a16="http://schemas.microsoft.com/office/drawing/2014/main" id="{58D05D2F-3F50-490F-A40F-363882482DA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658850" y="13477875"/>
          <a:ext cx="1612900" cy="1209675"/>
        </a:xfrm>
        <a:prstGeom prst="rect">
          <a:avLst/>
        </a:prstGeom>
      </xdr:spPr>
    </xdr:pic>
    <xdr:clientData/>
  </xdr:twoCellAnchor>
  <xdr:twoCellAnchor editAs="oneCell">
    <xdr:from>
      <xdr:col>15</xdr:col>
      <xdr:colOff>651991</xdr:colOff>
      <xdr:row>8</xdr:row>
      <xdr:rowOff>0</xdr:rowOff>
    </xdr:from>
    <xdr:to>
      <xdr:col>15</xdr:col>
      <xdr:colOff>1943098</xdr:colOff>
      <xdr:row>9</xdr:row>
      <xdr:rowOff>555625</xdr:rowOff>
    </xdr:to>
    <xdr:pic>
      <xdr:nvPicPr>
        <xdr:cNvPr id="10" name="Picture 9">
          <a:extLst>
            <a:ext uri="{FF2B5EF4-FFF2-40B4-BE49-F238E27FC236}">
              <a16:creationId xmlns:a16="http://schemas.microsoft.com/office/drawing/2014/main" id="{6194A577-68A5-4713-9C4F-40BB892EBDE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720291" y="16522700"/>
          <a:ext cx="1291107" cy="1825625"/>
        </a:xfrm>
        <a:prstGeom prst="rect">
          <a:avLst/>
        </a:prstGeom>
      </xdr:spPr>
    </xdr:pic>
    <xdr:clientData/>
  </xdr:twoCellAnchor>
  <xdr:twoCellAnchor editAs="oneCell">
    <xdr:from>
      <xdr:col>15</xdr:col>
      <xdr:colOff>655908</xdr:colOff>
      <xdr:row>9</xdr:row>
      <xdr:rowOff>0</xdr:rowOff>
    </xdr:from>
    <xdr:to>
      <xdr:col>15</xdr:col>
      <xdr:colOff>2247899</xdr:colOff>
      <xdr:row>10</xdr:row>
      <xdr:rowOff>1139825</xdr:rowOff>
    </xdr:to>
    <xdr:pic>
      <xdr:nvPicPr>
        <xdr:cNvPr id="11" name="Picture 10">
          <a:extLst>
            <a:ext uri="{FF2B5EF4-FFF2-40B4-BE49-F238E27FC236}">
              <a16:creationId xmlns:a16="http://schemas.microsoft.com/office/drawing/2014/main" id="{A936C511-F462-45E7-A0A0-4E3B55FCA05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724208" y="20161250"/>
          <a:ext cx="1591991" cy="2251075"/>
        </a:xfrm>
        <a:prstGeom prst="rect">
          <a:avLst/>
        </a:prstGeom>
      </xdr:spPr>
    </xdr:pic>
    <xdr:clientData/>
  </xdr:twoCellAnchor>
  <xdr:twoCellAnchor editAs="oneCell">
    <xdr:from>
      <xdr:col>15</xdr:col>
      <xdr:colOff>755650</xdr:colOff>
      <xdr:row>10</xdr:row>
      <xdr:rowOff>0</xdr:rowOff>
    </xdr:from>
    <xdr:to>
      <xdr:col>15</xdr:col>
      <xdr:colOff>1885953</xdr:colOff>
      <xdr:row>11</xdr:row>
      <xdr:rowOff>328248</xdr:rowOff>
    </xdr:to>
    <xdr:pic>
      <xdr:nvPicPr>
        <xdr:cNvPr id="12" name="Picture 11">
          <a:extLst>
            <a:ext uri="{FF2B5EF4-FFF2-40B4-BE49-F238E27FC236}">
              <a16:creationId xmlns:a16="http://schemas.microsoft.com/office/drawing/2014/main" id="{DDC397B9-881D-4BA1-9B52-5CD0A979BD0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823950" y="23901400"/>
          <a:ext cx="1130303" cy="1598248"/>
        </a:xfrm>
        <a:prstGeom prst="rect">
          <a:avLst/>
        </a:prstGeom>
      </xdr:spPr>
    </xdr:pic>
    <xdr:clientData/>
  </xdr:twoCellAnchor>
  <xdr:twoCellAnchor editAs="oneCell">
    <xdr:from>
      <xdr:col>15</xdr:col>
      <xdr:colOff>520098</xdr:colOff>
      <xdr:row>11</xdr:row>
      <xdr:rowOff>0</xdr:rowOff>
    </xdr:from>
    <xdr:to>
      <xdr:col>15</xdr:col>
      <xdr:colOff>2228850</xdr:colOff>
      <xdr:row>13</xdr:row>
      <xdr:rowOff>193675</xdr:rowOff>
    </xdr:to>
    <xdr:pic>
      <xdr:nvPicPr>
        <xdr:cNvPr id="13" name="Picture 12">
          <a:extLst>
            <a:ext uri="{FF2B5EF4-FFF2-40B4-BE49-F238E27FC236}">
              <a16:creationId xmlns:a16="http://schemas.microsoft.com/office/drawing/2014/main" id="{A4EF15E6-F16C-42EB-B73E-788F0D225A2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588398" y="27171650"/>
          <a:ext cx="1708752" cy="2416175"/>
        </a:xfrm>
        <a:prstGeom prst="rect">
          <a:avLst/>
        </a:prstGeom>
      </xdr:spPr>
    </xdr:pic>
    <xdr:clientData/>
  </xdr:twoCellAnchor>
  <xdr:twoCellAnchor editAs="oneCell">
    <xdr:from>
      <xdr:col>15</xdr:col>
      <xdr:colOff>831850</xdr:colOff>
      <xdr:row>12</xdr:row>
      <xdr:rowOff>0</xdr:rowOff>
    </xdr:from>
    <xdr:to>
      <xdr:col>15</xdr:col>
      <xdr:colOff>1943100</xdr:colOff>
      <xdr:row>13</xdr:row>
      <xdr:rowOff>460058</xdr:rowOff>
    </xdr:to>
    <xdr:pic>
      <xdr:nvPicPr>
        <xdr:cNvPr id="14" name="Picture 13">
          <a:extLst>
            <a:ext uri="{FF2B5EF4-FFF2-40B4-BE49-F238E27FC236}">
              <a16:creationId xmlns:a16="http://schemas.microsoft.com/office/drawing/2014/main" id="{0260A70F-B70D-49DA-A143-DCFD860D45E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3900150" y="30897767"/>
          <a:ext cx="1111250" cy="1571308"/>
        </a:xfrm>
        <a:prstGeom prst="rect">
          <a:avLst/>
        </a:prstGeom>
      </xdr:spPr>
    </xdr:pic>
    <xdr:clientData/>
  </xdr:twoCellAnchor>
  <xdr:twoCellAnchor editAs="oneCell">
    <xdr:from>
      <xdr:col>15</xdr:col>
      <xdr:colOff>671744</xdr:colOff>
      <xdr:row>12</xdr:row>
      <xdr:rowOff>1079501</xdr:rowOff>
    </xdr:from>
    <xdr:to>
      <xdr:col>15</xdr:col>
      <xdr:colOff>1987550</xdr:colOff>
      <xdr:row>14</xdr:row>
      <xdr:rowOff>717551</xdr:rowOff>
    </xdr:to>
    <xdr:pic>
      <xdr:nvPicPr>
        <xdr:cNvPr id="15" name="Picture 14">
          <a:extLst>
            <a:ext uri="{FF2B5EF4-FFF2-40B4-BE49-F238E27FC236}">
              <a16:creationId xmlns:a16="http://schemas.microsoft.com/office/drawing/2014/main" id="{3361D093-34C0-4360-8659-425CE90E526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3740044" y="33674051"/>
          <a:ext cx="1315806" cy="1860550"/>
        </a:xfrm>
        <a:prstGeom prst="rect">
          <a:avLst/>
        </a:prstGeom>
      </xdr:spPr>
    </xdr:pic>
    <xdr:clientData/>
  </xdr:twoCellAnchor>
  <xdr:twoCellAnchor editAs="oneCell">
    <xdr:from>
      <xdr:col>15</xdr:col>
      <xdr:colOff>571500</xdr:colOff>
      <xdr:row>16</xdr:row>
      <xdr:rowOff>0</xdr:rowOff>
    </xdr:from>
    <xdr:to>
      <xdr:col>15</xdr:col>
      <xdr:colOff>1873249</xdr:colOff>
      <xdr:row>17</xdr:row>
      <xdr:rowOff>570672</xdr:rowOff>
    </xdr:to>
    <xdr:pic>
      <xdr:nvPicPr>
        <xdr:cNvPr id="16" name="Picture 15">
          <a:extLst>
            <a:ext uri="{FF2B5EF4-FFF2-40B4-BE49-F238E27FC236}">
              <a16:creationId xmlns:a16="http://schemas.microsoft.com/office/drawing/2014/main" id="{FADD85A7-77C9-469C-937C-ED42BAF0D05D}"/>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3639800" y="43444353"/>
          <a:ext cx="1301749" cy="1840672"/>
        </a:xfrm>
        <a:prstGeom prst="rect">
          <a:avLst/>
        </a:prstGeom>
      </xdr:spPr>
    </xdr:pic>
    <xdr:clientData/>
  </xdr:twoCellAnchor>
  <xdr:twoCellAnchor editAs="oneCell">
    <xdr:from>
      <xdr:col>15</xdr:col>
      <xdr:colOff>654050</xdr:colOff>
      <xdr:row>17</xdr:row>
      <xdr:rowOff>0</xdr:rowOff>
    </xdr:from>
    <xdr:to>
      <xdr:col>15</xdr:col>
      <xdr:colOff>1917700</xdr:colOff>
      <xdr:row>18</xdr:row>
      <xdr:rowOff>675551</xdr:rowOff>
    </xdr:to>
    <xdr:pic>
      <xdr:nvPicPr>
        <xdr:cNvPr id="17" name="Picture 16">
          <a:extLst>
            <a:ext uri="{FF2B5EF4-FFF2-40B4-BE49-F238E27FC236}">
              <a16:creationId xmlns:a16="http://schemas.microsoft.com/office/drawing/2014/main" id="{85CA118D-63B1-40F6-B94F-30F3CDD4B07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3722350" y="47105024"/>
          <a:ext cx="1263650" cy="1786801"/>
        </a:xfrm>
        <a:prstGeom prst="rect">
          <a:avLst/>
        </a:prstGeom>
      </xdr:spPr>
    </xdr:pic>
    <xdr:clientData/>
  </xdr:twoCellAnchor>
  <xdr:twoCellAnchor editAs="oneCell">
    <xdr:from>
      <xdr:col>15</xdr:col>
      <xdr:colOff>977900</xdr:colOff>
      <xdr:row>18</xdr:row>
      <xdr:rowOff>0</xdr:rowOff>
    </xdr:from>
    <xdr:to>
      <xdr:col>15</xdr:col>
      <xdr:colOff>2228849</xdr:colOff>
      <xdr:row>19</xdr:row>
      <xdr:rowOff>498843</xdr:rowOff>
    </xdr:to>
    <xdr:pic>
      <xdr:nvPicPr>
        <xdr:cNvPr id="18" name="Picture 17">
          <a:extLst>
            <a:ext uri="{FF2B5EF4-FFF2-40B4-BE49-F238E27FC236}">
              <a16:creationId xmlns:a16="http://schemas.microsoft.com/office/drawing/2014/main" id="{25CF4D90-0D37-4F91-B8C1-84E198EF6488}"/>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4046200" y="50882182"/>
          <a:ext cx="1250949" cy="17688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65B05-3A71-49CB-B544-D2E83ECFF4BE}">
  <sheetPr>
    <pageSetUpPr fitToPage="1"/>
  </sheetPr>
  <dimension ref="A1:S50"/>
  <sheetViews>
    <sheetView tabSelected="1" topLeftCell="C1" zoomScaleNormal="100" workbookViewId="0">
      <selection activeCell="A12" sqref="A12:XFD12"/>
    </sheetView>
  </sheetViews>
  <sheetFormatPr defaultColWidth="8.7109375" defaultRowHeight="15.95"/>
  <cols>
    <col min="1" max="1" width="12.140625" style="13" bestFit="1" customWidth="1"/>
    <col min="2" max="2" width="14.5703125" style="3" bestFit="1" customWidth="1"/>
    <col min="3" max="3" width="92.140625" style="3" customWidth="1"/>
    <col min="4" max="4" width="12.42578125" style="3" hidden="1" customWidth="1"/>
    <col min="5" max="5" width="3.140625" style="3" bestFit="1" customWidth="1"/>
    <col min="6" max="6" width="5.85546875" style="3" bestFit="1" customWidth="1"/>
    <col min="7" max="8" width="7.140625" style="3" bestFit="1" customWidth="1"/>
    <col min="9" max="9" width="8.7109375" style="3"/>
    <col min="10" max="10" width="13" style="3" bestFit="1" customWidth="1"/>
    <col min="11" max="15" width="13" style="3" customWidth="1"/>
    <col min="16" max="17" width="8.7109375" style="14"/>
    <col min="18" max="18" width="17.85546875" style="15" bestFit="1" customWidth="1"/>
    <col min="19" max="19" width="22.42578125" style="3" hidden="1" customWidth="1"/>
    <col min="20" max="16384" width="8.7109375" style="3"/>
  </cols>
  <sheetData>
    <row r="1" spans="1:19">
      <c r="C1" s="3" t="s">
        <v>0</v>
      </c>
    </row>
    <row r="2" spans="1:19" ht="16.5" thickBot="1"/>
    <row r="3" spans="1:19" ht="16.5" thickBot="1">
      <c r="A3" s="16" t="s">
        <v>1</v>
      </c>
      <c r="B3" s="17"/>
      <c r="C3" s="17" t="s">
        <v>2</v>
      </c>
      <c r="D3" s="18"/>
      <c r="E3" s="19">
        <v>1</v>
      </c>
      <c r="F3" s="20">
        <v>2</v>
      </c>
      <c r="G3" s="20">
        <v>3</v>
      </c>
      <c r="H3" s="20">
        <v>4</v>
      </c>
      <c r="I3" s="21">
        <v>5</v>
      </c>
      <c r="J3" s="3" t="s">
        <v>3</v>
      </c>
      <c r="R3" s="15" t="s">
        <v>4</v>
      </c>
    </row>
    <row r="4" spans="1:19" ht="16.5" thickBot="1">
      <c r="A4" s="57" t="s">
        <v>5</v>
      </c>
      <c r="B4" s="3">
        <v>1</v>
      </c>
      <c r="C4" s="22" t="s">
        <v>6</v>
      </c>
      <c r="D4" s="23">
        <v>2000</v>
      </c>
      <c r="E4" s="23">
        <v>0</v>
      </c>
      <c r="F4" s="24">
        <v>300</v>
      </c>
      <c r="G4" s="23">
        <v>1000</v>
      </c>
      <c r="H4" s="23">
        <v>1500</v>
      </c>
      <c r="I4" s="25">
        <v>2000</v>
      </c>
      <c r="J4" s="3">
        <f>F4</f>
        <v>300</v>
      </c>
      <c r="L4" s="26">
        <v>5</v>
      </c>
      <c r="M4" s="3">
        <v>2000</v>
      </c>
    </row>
    <row r="5" spans="1:19" ht="16.5" thickBot="1">
      <c r="A5" s="58"/>
      <c r="B5" s="3">
        <v>2</v>
      </c>
      <c r="C5" s="22" t="s">
        <v>7</v>
      </c>
      <c r="D5" s="23">
        <v>1000</v>
      </c>
      <c r="E5" s="23">
        <v>0</v>
      </c>
      <c r="F5" s="23">
        <v>150</v>
      </c>
      <c r="G5" s="23">
        <v>500</v>
      </c>
      <c r="H5" s="24">
        <v>750</v>
      </c>
      <c r="I5" s="25">
        <v>1000</v>
      </c>
      <c r="J5" s="3">
        <f>H5</f>
        <v>750</v>
      </c>
      <c r="L5" s="27">
        <v>5</v>
      </c>
      <c r="M5" s="3">
        <v>1000</v>
      </c>
    </row>
    <row r="6" spans="1:19" ht="16.5" thickBot="1">
      <c r="A6" s="58"/>
      <c r="B6" s="3">
        <v>3</v>
      </c>
      <c r="C6" s="22" t="s">
        <v>8</v>
      </c>
      <c r="D6" s="23">
        <v>2000</v>
      </c>
      <c r="E6" s="24">
        <v>0</v>
      </c>
      <c r="F6" s="23">
        <v>300</v>
      </c>
      <c r="G6" s="23">
        <v>1000</v>
      </c>
      <c r="H6" s="23">
        <v>1500</v>
      </c>
      <c r="I6" s="25">
        <v>2000</v>
      </c>
      <c r="J6" s="3">
        <f>E6</f>
        <v>0</v>
      </c>
      <c r="L6" s="27">
        <v>5</v>
      </c>
      <c r="M6" s="3">
        <v>2000</v>
      </c>
    </row>
    <row r="7" spans="1:19" ht="16.5" thickBot="1">
      <c r="A7" s="58"/>
      <c r="B7" s="3">
        <v>4</v>
      </c>
      <c r="C7" s="22" t="s">
        <v>9</v>
      </c>
      <c r="D7" s="23">
        <v>1000</v>
      </c>
      <c r="E7" s="23">
        <v>0</v>
      </c>
      <c r="F7" s="23">
        <v>150</v>
      </c>
      <c r="G7" s="23">
        <v>500</v>
      </c>
      <c r="H7" s="24">
        <v>750</v>
      </c>
      <c r="I7" s="25">
        <v>1000</v>
      </c>
      <c r="J7" s="3">
        <f>H7</f>
        <v>750</v>
      </c>
      <c r="L7" s="27">
        <v>4</v>
      </c>
      <c r="M7" s="3">
        <v>750</v>
      </c>
    </row>
    <row r="8" spans="1:19" ht="16.5" thickBot="1">
      <c r="A8" s="58"/>
      <c r="B8" s="3">
        <v>5</v>
      </c>
      <c r="C8" s="22" t="s">
        <v>10</v>
      </c>
      <c r="D8" s="23">
        <v>1000</v>
      </c>
      <c r="E8" s="23">
        <v>0</v>
      </c>
      <c r="F8" s="23">
        <v>150</v>
      </c>
      <c r="G8" s="23">
        <v>500</v>
      </c>
      <c r="H8" s="23">
        <v>750</v>
      </c>
      <c r="I8" s="28">
        <v>1000</v>
      </c>
      <c r="J8" s="3">
        <f>I8</f>
        <v>1000</v>
      </c>
      <c r="L8" s="27">
        <v>5</v>
      </c>
      <c r="M8" s="3">
        <v>1000</v>
      </c>
    </row>
    <row r="9" spans="1:19" ht="16.5" thickBot="1">
      <c r="A9" s="58"/>
      <c r="B9" s="3">
        <v>6</v>
      </c>
      <c r="C9" s="22" t="s">
        <v>11</v>
      </c>
      <c r="D9" s="23">
        <v>1000</v>
      </c>
      <c r="E9" s="23">
        <v>0</v>
      </c>
      <c r="F9" s="23">
        <v>150</v>
      </c>
      <c r="G9" s="24">
        <v>500</v>
      </c>
      <c r="H9" s="23">
        <v>750</v>
      </c>
      <c r="I9" s="25">
        <v>1000</v>
      </c>
      <c r="J9" s="3">
        <f>G9</f>
        <v>500</v>
      </c>
      <c r="L9" s="27">
        <v>5</v>
      </c>
      <c r="M9" s="3">
        <v>1000</v>
      </c>
    </row>
    <row r="10" spans="1:19" ht="16.5" thickBot="1">
      <c r="A10" s="58"/>
      <c r="B10" s="3">
        <v>7</v>
      </c>
      <c r="C10" s="22" t="s">
        <v>12</v>
      </c>
      <c r="D10" s="23">
        <v>1000</v>
      </c>
      <c r="E10" s="23">
        <v>0</v>
      </c>
      <c r="F10" s="24">
        <v>150</v>
      </c>
      <c r="G10" s="23">
        <v>500</v>
      </c>
      <c r="H10" s="23">
        <v>750</v>
      </c>
      <c r="I10" s="25">
        <v>1000</v>
      </c>
      <c r="J10" s="3">
        <f>F10</f>
        <v>150</v>
      </c>
      <c r="L10" s="27">
        <v>5</v>
      </c>
      <c r="M10" s="3">
        <v>1000</v>
      </c>
    </row>
    <row r="11" spans="1:19" ht="16.5" thickBot="1">
      <c r="A11" s="58"/>
      <c r="B11" s="3">
        <v>8</v>
      </c>
      <c r="C11" s="22" t="s">
        <v>13</v>
      </c>
      <c r="D11" s="23">
        <v>1000</v>
      </c>
      <c r="E11" s="23">
        <v>0</v>
      </c>
      <c r="F11" s="23">
        <v>150</v>
      </c>
      <c r="G11" s="23">
        <v>500</v>
      </c>
      <c r="H11" s="23">
        <v>750</v>
      </c>
      <c r="I11" s="28">
        <v>1000</v>
      </c>
      <c r="J11" s="3">
        <f>I11</f>
        <v>1000</v>
      </c>
      <c r="L11" s="27">
        <v>4</v>
      </c>
      <c r="M11" s="3">
        <v>750</v>
      </c>
      <c r="Q11" s="29" t="s">
        <v>14</v>
      </c>
      <c r="R11" s="30" t="str">
        <f>CONCATENATE(A4, "-", "score")</f>
        <v>Meaning-score</v>
      </c>
      <c r="S11" s="3" t="s">
        <v>15</v>
      </c>
    </row>
    <row r="12" spans="1:19" ht="16.5" thickBot="1">
      <c r="C12" s="31"/>
      <c r="D12" s="32">
        <f>SUM(D4:D11)</f>
        <v>10000</v>
      </c>
      <c r="E12" s="32"/>
      <c r="F12" s="32"/>
      <c r="G12" s="32"/>
      <c r="H12" s="32"/>
      <c r="I12" s="33"/>
      <c r="J12" s="3">
        <f>SUM(J4:J11)</f>
        <v>4450</v>
      </c>
      <c r="M12" s="34">
        <f>SUM(M4:M11)</f>
        <v>9500</v>
      </c>
      <c r="N12" s="3" t="s">
        <v>16</v>
      </c>
      <c r="P12" s="35">
        <f>J12/D12</f>
        <v>0.44500000000000001</v>
      </c>
      <c r="Q12" s="14">
        <f>J12</f>
        <v>4450</v>
      </c>
      <c r="R12" s="36" t="str">
        <f>IF(S12&gt;=6000,"high","low")</f>
        <v>low</v>
      </c>
      <c r="S12" s="3">
        <f>Q12</f>
        <v>4450</v>
      </c>
    </row>
    <row r="13" spans="1:19" ht="16.5" thickBot="1">
      <c r="A13" s="57" t="s">
        <v>17</v>
      </c>
      <c r="B13" s="3">
        <v>9</v>
      </c>
      <c r="C13" s="37" t="s">
        <v>18</v>
      </c>
      <c r="D13" s="38">
        <v>500</v>
      </c>
      <c r="E13" s="38">
        <v>0</v>
      </c>
      <c r="F13" s="38">
        <v>75</v>
      </c>
      <c r="G13" s="39">
        <v>250</v>
      </c>
      <c r="H13" s="40">
        <v>375</v>
      </c>
      <c r="I13" s="41">
        <v>500</v>
      </c>
      <c r="J13" s="3">
        <f>H13</f>
        <v>375</v>
      </c>
      <c r="K13" s="3">
        <v>250</v>
      </c>
      <c r="L13" s="27">
        <v>1</v>
      </c>
      <c r="M13" s="3">
        <v>0</v>
      </c>
    </row>
    <row r="14" spans="1:19" ht="16.5" thickBot="1">
      <c r="A14" s="58"/>
      <c r="B14" s="3">
        <v>10</v>
      </c>
      <c r="C14" s="42" t="s">
        <v>19</v>
      </c>
      <c r="D14" s="11">
        <v>1500</v>
      </c>
      <c r="E14" s="11">
        <v>0</v>
      </c>
      <c r="F14" s="11">
        <v>225</v>
      </c>
      <c r="G14" s="11">
        <v>750</v>
      </c>
      <c r="H14" s="43">
        <v>1125</v>
      </c>
      <c r="I14" s="44">
        <v>1500</v>
      </c>
      <c r="J14" s="3">
        <f t="shared" ref="J14:J20" si="0">H14</f>
        <v>1125</v>
      </c>
      <c r="K14" s="3">
        <v>1125</v>
      </c>
      <c r="L14" s="27">
        <v>4</v>
      </c>
      <c r="M14" s="3">
        <v>1125</v>
      </c>
      <c r="P14" s="14" t="s">
        <v>20</v>
      </c>
    </row>
    <row r="15" spans="1:19" ht="16.5" thickBot="1">
      <c r="A15" s="58"/>
      <c r="B15" s="3">
        <v>11</v>
      </c>
      <c r="C15" s="42" t="s">
        <v>21</v>
      </c>
      <c r="D15" s="11">
        <v>2000</v>
      </c>
      <c r="E15" s="45">
        <v>0</v>
      </c>
      <c r="F15" s="11">
        <v>300</v>
      </c>
      <c r="G15" s="11">
        <v>1000</v>
      </c>
      <c r="H15" s="23">
        <v>1500</v>
      </c>
      <c r="I15" s="44">
        <v>2000</v>
      </c>
      <c r="J15" s="3">
        <f t="shared" si="0"/>
        <v>1500</v>
      </c>
      <c r="K15" s="3">
        <v>0</v>
      </c>
      <c r="L15" s="46">
        <v>1</v>
      </c>
      <c r="M15" s="3">
        <v>0</v>
      </c>
    </row>
    <row r="16" spans="1:19" ht="16.5" thickBot="1">
      <c r="A16" s="58"/>
      <c r="B16" s="3">
        <v>12</v>
      </c>
      <c r="C16" s="42" t="s">
        <v>22</v>
      </c>
      <c r="D16" s="11">
        <v>1000</v>
      </c>
      <c r="E16" s="11">
        <v>0</v>
      </c>
      <c r="F16" s="45">
        <v>150</v>
      </c>
      <c r="G16" s="11">
        <v>500</v>
      </c>
      <c r="H16" s="23">
        <v>750</v>
      </c>
      <c r="I16" s="44">
        <v>1000</v>
      </c>
      <c r="J16" s="3">
        <f t="shared" si="0"/>
        <v>750</v>
      </c>
      <c r="K16" s="3">
        <v>150</v>
      </c>
      <c r="L16" s="27">
        <v>1</v>
      </c>
      <c r="M16" s="3">
        <v>0</v>
      </c>
    </row>
    <row r="17" spans="1:19" ht="16.5" thickBot="1">
      <c r="A17" s="58"/>
      <c r="B17" s="3">
        <v>13</v>
      </c>
      <c r="C17" s="42" t="s">
        <v>23</v>
      </c>
      <c r="D17" s="11">
        <v>1000</v>
      </c>
      <c r="E17" s="11">
        <v>0</v>
      </c>
      <c r="F17" s="11">
        <v>150</v>
      </c>
      <c r="G17" s="11">
        <v>500</v>
      </c>
      <c r="H17" s="23">
        <v>750</v>
      </c>
      <c r="I17" s="47">
        <v>1000</v>
      </c>
      <c r="J17" s="3">
        <f t="shared" si="0"/>
        <v>750</v>
      </c>
      <c r="K17" s="3">
        <v>1000</v>
      </c>
      <c r="L17" s="27">
        <v>5</v>
      </c>
      <c r="M17" s="3">
        <v>1000</v>
      </c>
    </row>
    <row r="18" spans="1:19" ht="16.5" thickBot="1">
      <c r="A18" s="58"/>
      <c r="B18" s="3">
        <v>14</v>
      </c>
      <c r="C18" s="42" t="s">
        <v>24</v>
      </c>
      <c r="D18" s="11">
        <v>2000</v>
      </c>
      <c r="E18" s="11">
        <v>0</v>
      </c>
      <c r="F18" s="11">
        <v>300</v>
      </c>
      <c r="G18" s="11">
        <v>1000</v>
      </c>
      <c r="H18" s="23">
        <v>1500</v>
      </c>
      <c r="I18" s="47">
        <v>2000</v>
      </c>
      <c r="J18" s="3">
        <f t="shared" si="0"/>
        <v>1500</v>
      </c>
      <c r="K18" s="3">
        <v>2000</v>
      </c>
      <c r="L18" s="27">
        <v>5</v>
      </c>
      <c r="M18" s="3">
        <v>2000</v>
      </c>
    </row>
    <row r="19" spans="1:19" ht="16.5" thickBot="1">
      <c r="A19" s="58"/>
      <c r="B19" s="3">
        <v>15</v>
      </c>
      <c r="C19" s="42" t="s">
        <v>25</v>
      </c>
      <c r="D19" s="11">
        <v>1000</v>
      </c>
      <c r="E19" s="11">
        <v>0</v>
      </c>
      <c r="F19" s="11">
        <v>150</v>
      </c>
      <c r="G19" s="11">
        <v>500</v>
      </c>
      <c r="H19" s="23">
        <v>750</v>
      </c>
      <c r="I19" s="47">
        <v>1000</v>
      </c>
      <c r="J19" s="3">
        <f t="shared" si="0"/>
        <v>750</v>
      </c>
      <c r="K19" s="3">
        <v>1000</v>
      </c>
      <c r="L19" s="27">
        <v>5</v>
      </c>
      <c r="M19" s="3">
        <v>1000</v>
      </c>
      <c r="Q19" s="14" t="s">
        <v>26</v>
      </c>
    </row>
    <row r="20" spans="1:19" ht="16.5" thickBot="1">
      <c r="A20" s="58"/>
      <c r="B20" s="3">
        <v>16</v>
      </c>
      <c r="C20" s="42" t="s">
        <v>27</v>
      </c>
      <c r="D20" s="11">
        <v>1000</v>
      </c>
      <c r="E20" s="11">
        <v>0</v>
      </c>
      <c r="F20" s="11">
        <v>150</v>
      </c>
      <c r="G20" s="45">
        <v>500</v>
      </c>
      <c r="H20" s="23">
        <v>750</v>
      </c>
      <c r="I20" s="44">
        <v>1000</v>
      </c>
      <c r="J20" s="3">
        <f t="shared" si="0"/>
        <v>750</v>
      </c>
      <c r="K20" s="3">
        <v>500</v>
      </c>
      <c r="L20" s="27">
        <v>3</v>
      </c>
      <c r="M20" s="3">
        <v>500</v>
      </c>
      <c r="Q20" s="29" t="s">
        <v>14</v>
      </c>
      <c r="R20" s="30" t="str">
        <f>CONCATENATE(A13, "-", "score")</f>
        <v>Delight-score</v>
      </c>
      <c r="S20" s="3" t="s">
        <v>15</v>
      </c>
    </row>
    <row r="21" spans="1:19" ht="16.5" thickBot="1">
      <c r="C21" s="31"/>
      <c r="D21" s="32"/>
      <c r="E21" s="32"/>
      <c r="F21" s="32"/>
      <c r="G21" s="32"/>
      <c r="H21" s="32"/>
      <c r="I21" s="33"/>
      <c r="J21" s="3">
        <f>SUM(J13:J20)</f>
        <v>7500</v>
      </c>
      <c r="K21" s="3">
        <f>SUM(K13:K20)</f>
        <v>6025</v>
      </c>
      <c r="M21" s="34">
        <f>SUM(M13:M20)</f>
        <v>5625</v>
      </c>
      <c r="N21" s="3" t="s">
        <v>28</v>
      </c>
      <c r="O21" s="48">
        <f>K21/10000</f>
        <v>0.60250000000000004</v>
      </c>
      <c r="P21" s="49">
        <f>J21/10000</f>
        <v>0.75</v>
      </c>
      <c r="Q21" s="29">
        <f>Q12+J21</f>
        <v>11950</v>
      </c>
      <c r="R21" s="36" t="str">
        <f>IF(S21&gt;=6000,"high","low")</f>
        <v>high</v>
      </c>
      <c r="S21" s="3">
        <f>Q21-S12</f>
        <v>7500</v>
      </c>
    </row>
    <row r="22" spans="1:19" ht="16.5" thickBot="1">
      <c r="A22" s="57" t="s">
        <v>29</v>
      </c>
      <c r="B22" s="3">
        <v>17</v>
      </c>
      <c r="C22" s="37" t="s">
        <v>30</v>
      </c>
      <c r="D22" s="38">
        <v>1500</v>
      </c>
      <c r="E22" s="38">
        <v>0</v>
      </c>
      <c r="F22" s="38">
        <v>225</v>
      </c>
      <c r="G22" s="38">
        <v>750</v>
      </c>
      <c r="H22" s="38">
        <v>1125</v>
      </c>
      <c r="I22" s="50">
        <v>1500</v>
      </c>
      <c r="J22" s="3">
        <f>I22</f>
        <v>1500</v>
      </c>
      <c r="L22" s="27">
        <v>4</v>
      </c>
      <c r="M22" s="3">
        <v>1125</v>
      </c>
    </row>
    <row r="23" spans="1:19" ht="16.5" thickBot="1">
      <c r="A23" s="58"/>
      <c r="B23" s="3">
        <v>18</v>
      </c>
      <c r="C23" s="42" t="s">
        <v>31</v>
      </c>
      <c r="D23" s="11">
        <v>1500</v>
      </c>
      <c r="E23" s="11">
        <v>0</v>
      </c>
      <c r="F23" s="11">
        <v>225</v>
      </c>
      <c r="G23" s="11">
        <v>750</v>
      </c>
      <c r="H23" s="11">
        <v>1125</v>
      </c>
      <c r="I23" s="25">
        <v>1500</v>
      </c>
      <c r="J23" s="3">
        <f t="shared" ref="J23:J29" si="1">I23</f>
        <v>1500</v>
      </c>
      <c r="L23" s="46">
        <v>5</v>
      </c>
      <c r="M23" s="3">
        <v>1500</v>
      </c>
    </row>
    <row r="24" spans="1:19" ht="16.5" thickBot="1">
      <c r="A24" s="58"/>
      <c r="B24" s="3">
        <v>19</v>
      </c>
      <c r="C24" s="42" t="s">
        <v>32</v>
      </c>
      <c r="D24" s="11">
        <v>1000</v>
      </c>
      <c r="E24" s="11">
        <v>0</v>
      </c>
      <c r="F24" s="11">
        <v>150</v>
      </c>
      <c r="G24" s="11">
        <v>500</v>
      </c>
      <c r="H24" s="11">
        <v>750</v>
      </c>
      <c r="I24" s="25">
        <v>1000</v>
      </c>
      <c r="J24" s="3">
        <f t="shared" si="1"/>
        <v>1000</v>
      </c>
      <c r="L24" s="27">
        <v>4</v>
      </c>
      <c r="M24" s="3">
        <v>750</v>
      </c>
    </row>
    <row r="25" spans="1:19" ht="16.5" thickBot="1">
      <c r="A25" s="58"/>
      <c r="B25" s="3">
        <v>20</v>
      </c>
      <c r="C25" s="42" t="s">
        <v>33</v>
      </c>
      <c r="D25" s="11">
        <v>2000</v>
      </c>
      <c r="E25" s="11">
        <v>0</v>
      </c>
      <c r="F25" s="11">
        <v>300</v>
      </c>
      <c r="G25" s="11">
        <v>1000</v>
      </c>
      <c r="H25" s="11">
        <v>1500</v>
      </c>
      <c r="I25" s="25">
        <v>2000</v>
      </c>
      <c r="J25" s="3">
        <f t="shared" si="1"/>
        <v>2000</v>
      </c>
      <c r="L25" s="27">
        <v>3</v>
      </c>
      <c r="M25" s="3">
        <v>1000</v>
      </c>
    </row>
    <row r="26" spans="1:19" ht="16.5" thickBot="1">
      <c r="A26" s="58"/>
      <c r="B26" s="3">
        <v>21</v>
      </c>
      <c r="C26" s="42" t="s">
        <v>34</v>
      </c>
      <c r="D26" s="11">
        <v>500</v>
      </c>
      <c r="E26" s="11">
        <v>0</v>
      </c>
      <c r="F26" s="11">
        <v>75</v>
      </c>
      <c r="G26" s="11">
        <v>250</v>
      </c>
      <c r="H26" s="11">
        <v>375</v>
      </c>
      <c r="I26" s="25">
        <v>500</v>
      </c>
      <c r="J26" s="3">
        <f t="shared" si="1"/>
        <v>500</v>
      </c>
      <c r="L26" s="27">
        <v>5</v>
      </c>
      <c r="M26" s="3">
        <v>500</v>
      </c>
    </row>
    <row r="27" spans="1:19" ht="16.5" thickBot="1">
      <c r="A27" s="58"/>
      <c r="B27" s="3">
        <v>22</v>
      </c>
      <c r="C27" s="42" t="s">
        <v>35</v>
      </c>
      <c r="D27" s="11">
        <v>1500</v>
      </c>
      <c r="E27" s="11">
        <v>0</v>
      </c>
      <c r="F27" s="11">
        <v>225</v>
      </c>
      <c r="G27" s="11">
        <v>750</v>
      </c>
      <c r="H27" s="11">
        <v>1125</v>
      </c>
      <c r="I27" s="25">
        <v>1500</v>
      </c>
      <c r="J27" s="3">
        <f t="shared" si="1"/>
        <v>1500</v>
      </c>
      <c r="L27" s="27">
        <v>5</v>
      </c>
      <c r="M27" s="3">
        <v>1500</v>
      </c>
    </row>
    <row r="28" spans="1:19" ht="16.5" thickBot="1">
      <c r="A28" s="58"/>
      <c r="B28" s="3">
        <v>23</v>
      </c>
      <c r="C28" s="42" t="s">
        <v>36</v>
      </c>
      <c r="D28" s="11">
        <v>500</v>
      </c>
      <c r="E28" s="11">
        <v>0</v>
      </c>
      <c r="F28" s="11">
        <v>75</v>
      </c>
      <c r="G28" s="11">
        <v>250</v>
      </c>
      <c r="H28" s="11">
        <v>375</v>
      </c>
      <c r="I28" s="25">
        <v>500</v>
      </c>
      <c r="J28" s="3">
        <f t="shared" si="1"/>
        <v>500</v>
      </c>
      <c r="L28" s="27">
        <v>4</v>
      </c>
      <c r="M28" s="3">
        <v>375</v>
      </c>
    </row>
    <row r="29" spans="1:19" ht="16.5" thickBot="1">
      <c r="A29" s="58"/>
      <c r="B29" s="3">
        <v>24</v>
      </c>
      <c r="C29" s="42" t="s">
        <v>37</v>
      </c>
      <c r="D29" s="11">
        <v>1500</v>
      </c>
      <c r="E29" s="11">
        <v>0</v>
      </c>
      <c r="F29" s="11">
        <v>225</v>
      </c>
      <c r="G29" s="11">
        <v>750</v>
      </c>
      <c r="H29" s="11">
        <v>1125</v>
      </c>
      <c r="I29" s="25">
        <v>1500</v>
      </c>
      <c r="J29" s="3">
        <f t="shared" si="1"/>
        <v>1500</v>
      </c>
      <c r="L29" s="46">
        <v>3</v>
      </c>
      <c r="M29" s="3">
        <v>750</v>
      </c>
      <c r="Q29" s="29" t="s">
        <v>14</v>
      </c>
      <c r="R29" s="30" t="str">
        <f>CONCATENATE(A22, "-", "score")</f>
        <v>Freedom-score</v>
      </c>
      <c r="S29" s="3" t="s">
        <v>15</v>
      </c>
    </row>
    <row r="30" spans="1:19" ht="16.5" thickBot="1">
      <c r="C30" s="31"/>
      <c r="D30" s="32"/>
      <c r="E30" s="32"/>
      <c r="F30" s="32"/>
      <c r="G30" s="32"/>
      <c r="H30" s="32"/>
      <c r="I30" s="33"/>
      <c r="J30" s="3">
        <f>SUM(J22:J29)</f>
        <v>10000</v>
      </c>
      <c r="M30" s="34">
        <f>SUM(M22:M29)</f>
        <v>7500</v>
      </c>
      <c r="N30" s="3" t="s">
        <v>16</v>
      </c>
      <c r="P30" s="49">
        <f>J30/10000</f>
        <v>1</v>
      </c>
      <c r="Q30" s="29">
        <f>Q21+J30</f>
        <v>21950</v>
      </c>
      <c r="R30" s="36" t="str">
        <f>IF(S30&gt;=6000,"high","low")</f>
        <v>high</v>
      </c>
      <c r="S30" s="3">
        <f>Q30-S21-S12</f>
        <v>10000</v>
      </c>
    </row>
    <row r="31" spans="1:19" ht="16.5" thickBot="1">
      <c r="C31" s="51"/>
      <c r="D31" s="51"/>
      <c r="E31" s="51"/>
      <c r="F31" s="51"/>
      <c r="G31" s="51"/>
      <c r="H31" s="51"/>
      <c r="I31" s="51"/>
    </row>
    <row r="32" spans="1:19" ht="16.5" thickBot="1">
      <c r="A32" s="57" t="s">
        <v>38</v>
      </c>
      <c r="B32" s="3">
        <v>25</v>
      </c>
      <c r="C32" s="37" t="s">
        <v>39</v>
      </c>
      <c r="D32" s="38">
        <v>1000</v>
      </c>
      <c r="E32" s="38">
        <v>0</v>
      </c>
      <c r="F32" s="40">
        <v>150</v>
      </c>
      <c r="G32" s="38">
        <v>500</v>
      </c>
      <c r="H32" s="38">
        <v>750</v>
      </c>
      <c r="I32" s="41">
        <v>1000</v>
      </c>
      <c r="J32" s="3">
        <f>F32</f>
        <v>150</v>
      </c>
      <c r="L32" s="27">
        <v>5</v>
      </c>
      <c r="M32" s="3">
        <v>1000</v>
      </c>
    </row>
    <row r="33" spans="1:19" ht="16.5" thickBot="1">
      <c r="A33" s="58"/>
      <c r="B33" s="3">
        <v>26</v>
      </c>
      <c r="C33" s="42" t="s">
        <v>40</v>
      </c>
      <c r="D33" s="11">
        <v>1000</v>
      </c>
      <c r="E33" s="11">
        <v>0</v>
      </c>
      <c r="F33" s="23">
        <v>150</v>
      </c>
      <c r="G33" s="11">
        <v>500</v>
      </c>
      <c r="H33" s="11">
        <v>750</v>
      </c>
      <c r="I33" s="44">
        <v>1000</v>
      </c>
      <c r="J33" s="3">
        <f t="shared" ref="J33:J39" si="2">F33</f>
        <v>150</v>
      </c>
      <c r="L33" s="27">
        <v>1</v>
      </c>
      <c r="M33" s="3">
        <v>0</v>
      </c>
    </row>
    <row r="34" spans="1:19" ht="16.5" thickBot="1">
      <c r="A34" s="58"/>
      <c r="B34" s="3">
        <v>27</v>
      </c>
      <c r="C34" s="42" t="s">
        <v>41</v>
      </c>
      <c r="D34" s="11">
        <v>2000</v>
      </c>
      <c r="E34" s="11">
        <v>0</v>
      </c>
      <c r="F34" s="23">
        <v>300</v>
      </c>
      <c r="G34" s="11">
        <v>1000</v>
      </c>
      <c r="H34" s="11">
        <v>1500</v>
      </c>
      <c r="I34" s="44">
        <v>2000</v>
      </c>
      <c r="J34" s="3">
        <f t="shared" si="2"/>
        <v>300</v>
      </c>
      <c r="L34" s="27">
        <v>5</v>
      </c>
      <c r="M34" s="3">
        <v>2000</v>
      </c>
    </row>
    <row r="35" spans="1:19" ht="16.5" thickBot="1">
      <c r="A35" s="58"/>
      <c r="B35" s="3">
        <v>28</v>
      </c>
      <c r="C35" s="42" t="s">
        <v>42</v>
      </c>
      <c r="D35" s="11">
        <v>1000</v>
      </c>
      <c r="E35" s="11">
        <v>0</v>
      </c>
      <c r="F35" s="23">
        <v>150</v>
      </c>
      <c r="G35" s="11">
        <v>500</v>
      </c>
      <c r="H35" s="11">
        <v>750</v>
      </c>
      <c r="I35" s="44">
        <v>1000</v>
      </c>
      <c r="J35" s="3">
        <f t="shared" si="2"/>
        <v>150</v>
      </c>
      <c r="L35" s="27">
        <v>2</v>
      </c>
      <c r="M35" s="3">
        <v>150</v>
      </c>
    </row>
    <row r="36" spans="1:19" ht="16.5" thickBot="1">
      <c r="A36" s="58"/>
      <c r="B36" s="3">
        <v>29</v>
      </c>
      <c r="C36" s="42" t="s">
        <v>43</v>
      </c>
      <c r="D36" s="11">
        <v>1000</v>
      </c>
      <c r="E36" s="11">
        <v>0</v>
      </c>
      <c r="F36" s="23">
        <v>150</v>
      </c>
      <c r="G36" s="11">
        <v>500</v>
      </c>
      <c r="H36" s="11">
        <v>750</v>
      </c>
      <c r="I36" s="44">
        <v>1000</v>
      </c>
      <c r="J36" s="3">
        <f t="shared" si="2"/>
        <v>150</v>
      </c>
      <c r="L36" s="27">
        <v>4</v>
      </c>
      <c r="M36" s="3">
        <v>750</v>
      </c>
    </row>
    <row r="37" spans="1:19" ht="16.5" thickBot="1">
      <c r="A37" s="58"/>
      <c r="B37" s="3">
        <v>30</v>
      </c>
      <c r="C37" s="42" t="s">
        <v>44</v>
      </c>
      <c r="D37" s="11">
        <v>2000</v>
      </c>
      <c r="E37" s="11">
        <v>0</v>
      </c>
      <c r="F37" s="23">
        <v>300</v>
      </c>
      <c r="G37" s="11">
        <v>1000</v>
      </c>
      <c r="H37" s="11">
        <v>1500</v>
      </c>
      <c r="I37" s="44">
        <v>2000</v>
      </c>
      <c r="J37" s="3">
        <f t="shared" si="2"/>
        <v>300</v>
      </c>
      <c r="L37" s="27">
        <v>5</v>
      </c>
      <c r="M37" s="3">
        <v>2000</v>
      </c>
    </row>
    <row r="38" spans="1:19" ht="16.5" thickBot="1">
      <c r="A38" s="58"/>
      <c r="B38" s="3">
        <v>31</v>
      </c>
      <c r="C38" s="42" t="s">
        <v>45</v>
      </c>
      <c r="D38" s="11">
        <v>1000</v>
      </c>
      <c r="E38" s="11">
        <v>0</v>
      </c>
      <c r="F38" s="23">
        <v>150</v>
      </c>
      <c r="G38" s="11">
        <v>500</v>
      </c>
      <c r="H38" s="11">
        <v>750</v>
      </c>
      <c r="I38" s="44">
        <v>1000</v>
      </c>
      <c r="J38" s="3">
        <f t="shared" si="2"/>
        <v>150</v>
      </c>
      <c r="L38" s="52">
        <v>2</v>
      </c>
      <c r="M38" s="3">
        <v>150</v>
      </c>
    </row>
    <row r="39" spans="1:19" ht="16.5" thickBot="1">
      <c r="A39" s="58"/>
      <c r="B39" s="3">
        <v>32</v>
      </c>
      <c r="C39" s="31" t="s">
        <v>46</v>
      </c>
      <c r="D39" s="32">
        <v>1000</v>
      </c>
      <c r="E39" s="32">
        <v>0</v>
      </c>
      <c r="F39" s="53">
        <v>150</v>
      </c>
      <c r="G39" s="32">
        <v>500</v>
      </c>
      <c r="H39" s="32">
        <v>750</v>
      </c>
      <c r="I39" s="33">
        <v>1000</v>
      </c>
      <c r="J39" s="3">
        <f t="shared" si="2"/>
        <v>150</v>
      </c>
      <c r="L39" s="52">
        <v>1</v>
      </c>
      <c r="M39" s="3">
        <v>0</v>
      </c>
      <c r="Q39" s="29" t="s">
        <v>14</v>
      </c>
      <c r="R39" s="30" t="str">
        <f>CONCATENATE(A32, "-", "score")</f>
        <v>Engagement-score</v>
      </c>
      <c r="S39" s="3" t="s">
        <v>15</v>
      </c>
    </row>
    <row r="40" spans="1:19">
      <c r="C40" s="54"/>
      <c r="D40" s="54"/>
      <c r="E40" s="54"/>
      <c r="F40" s="54"/>
      <c r="G40" s="54"/>
      <c r="H40" s="54"/>
      <c r="I40" s="54"/>
      <c r="J40" s="3">
        <f>SUM(J32:J39)</f>
        <v>1500</v>
      </c>
      <c r="M40" s="34">
        <f>SUM(M32:M39)</f>
        <v>6050</v>
      </c>
      <c r="N40" s="3" t="s">
        <v>16</v>
      </c>
      <c r="P40" s="49">
        <f>J40/10000</f>
        <v>0.15</v>
      </c>
      <c r="Q40" s="29">
        <f>Q30+J40</f>
        <v>23450</v>
      </c>
      <c r="R40" s="36" t="str">
        <f>IF(S40&gt;=6000,"high","low")</f>
        <v>low</v>
      </c>
      <c r="S40" s="3">
        <f>Q40-S30-S21-S12</f>
        <v>1500</v>
      </c>
    </row>
    <row r="41" spans="1:19" ht="16.5" thickBot="1">
      <c r="C41" s="55"/>
      <c r="D41" s="55"/>
      <c r="E41" s="55"/>
      <c r="F41" s="55"/>
      <c r="G41" s="55"/>
      <c r="H41" s="55"/>
      <c r="I41" s="55"/>
    </row>
    <row r="42" spans="1:19" ht="16.5" thickBot="1">
      <c r="A42" s="57" t="s">
        <v>47</v>
      </c>
      <c r="B42" s="3">
        <v>33</v>
      </c>
      <c r="C42" s="37" t="s">
        <v>48</v>
      </c>
      <c r="D42" s="38">
        <v>1500</v>
      </c>
      <c r="E42" s="38">
        <v>0</v>
      </c>
      <c r="F42" s="38">
        <v>225</v>
      </c>
      <c r="G42" s="38">
        <v>750</v>
      </c>
      <c r="H42" s="38">
        <v>1125</v>
      </c>
      <c r="I42" s="50">
        <v>1500</v>
      </c>
      <c r="J42" s="3">
        <f>I42</f>
        <v>1500</v>
      </c>
      <c r="L42" s="52">
        <v>4</v>
      </c>
      <c r="M42" s="3">
        <v>1125</v>
      </c>
    </row>
    <row r="43" spans="1:19" ht="16.5" thickBot="1">
      <c r="A43" s="58"/>
      <c r="B43" s="3">
        <v>34</v>
      </c>
      <c r="C43" s="42" t="s">
        <v>49</v>
      </c>
      <c r="D43" s="11">
        <v>1000</v>
      </c>
      <c r="E43" s="11">
        <v>0</v>
      </c>
      <c r="F43" s="11">
        <v>150</v>
      </c>
      <c r="G43" s="11">
        <v>500</v>
      </c>
      <c r="H43" s="11">
        <v>750</v>
      </c>
      <c r="I43" s="25">
        <v>1000</v>
      </c>
      <c r="J43" s="3">
        <f t="shared" ref="J43:J49" si="3">I43</f>
        <v>1000</v>
      </c>
      <c r="L43" s="52">
        <v>3</v>
      </c>
      <c r="M43" s="3">
        <v>500</v>
      </c>
    </row>
    <row r="44" spans="1:19" ht="16.5" thickBot="1">
      <c r="A44" s="58"/>
      <c r="B44" s="3">
        <v>35</v>
      </c>
      <c r="C44" s="42" t="s">
        <v>50</v>
      </c>
      <c r="D44" s="11">
        <v>1000</v>
      </c>
      <c r="E44" s="11">
        <v>0</v>
      </c>
      <c r="F44" s="11">
        <v>150</v>
      </c>
      <c r="G44" s="11">
        <v>500</v>
      </c>
      <c r="H44" s="11">
        <v>750</v>
      </c>
      <c r="I44" s="25">
        <v>1000</v>
      </c>
      <c r="J44" s="3">
        <f t="shared" si="3"/>
        <v>1000</v>
      </c>
      <c r="L44" s="52">
        <v>5</v>
      </c>
      <c r="M44" s="3">
        <v>1000</v>
      </c>
    </row>
    <row r="45" spans="1:19" ht="16.5" thickBot="1">
      <c r="A45" s="58"/>
      <c r="B45" s="3">
        <v>36</v>
      </c>
      <c r="C45" s="42" t="s">
        <v>51</v>
      </c>
      <c r="D45" s="11">
        <v>1500</v>
      </c>
      <c r="E45" s="11">
        <v>0</v>
      </c>
      <c r="F45" s="11">
        <v>225</v>
      </c>
      <c r="G45" s="11">
        <v>750</v>
      </c>
      <c r="H45" s="11">
        <v>1125</v>
      </c>
      <c r="I45" s="25">
        <v>1500</v>
      </c>
      <c r="J45" s="3">
        <f t="shared" si="3"/>
        <v>1500</v>
      </c>
      <c r="L45" s="52">
        <v>5</v>
      </c>
      <c r="M45" s="3">
        <v>1500</v>
      </c>
    </row>
    <row r="46" spans="1:19" ht="16.5" thickBot="1">
      <c r="A46" s="58"/>
      <c r="B46" s="3">
        <v>37</v>
      </c>
      <c r="C46" s="42" t="s">
        <v>52</v>
      </c>
      <c r="D46" s="11">
        <v>1000</v>
      </c>
      <c r="E46" s="11">
        <v>0</v>
      </c>
      <c r="F46" s="11">
        <v>150</v>
      </c>
      <c r="G46" s="11">
        <v>500</v>
      </c>
      <c r="H46" s="11">
        <v>750</v>
      </c>
      <c r="I46" s="25">
        <v>1000</v>
      </c>
      <c r="J46" s="3">
        <f t="shared" si="3"/>
        <v>1000</v>
      </c>
      <c r="L46" s="27">
        <v>5</v>
      </c>
      <c r="M46" s="3">
        <v>1000</v>
      </c>
    </row>
    <row r="47" spans="1:19" ht="16.5" thickBot="1">
      <c r="A47" s="58"/>
      <c r="B47" s="3">
        <v>38</v>
      </c>
      <c r="C47" s="42" t="s">
        <v>53</v>
      </c>
      <c r="D47" s="11">
        <v>500</v>
      </c>
      <c r="E47" s="11">
        <v>0</v>
      </c>
      <c r="F47" s="11">
        <v>75</v>
      </c>
      <c r="G47" s="11">
        <v>250</v>
      </c>
      <c r="H47" s="11">
        <v>375</v>
      </c>
      <c r="I47" s="25">
        <v>500</v>
      </c>
      <c r="J47" s="3">
        <f t="shared" si="3"/>
        <v>500</v>
      </c>
      <c r="L47" s="27">
        <v>5</v>
      </c>
      <c r="M47" s="3">
        <v>500</v>
      </c>
    </row>
    <row r="48" spans="1:19" ht="16.5" thickBot="1">
      <c r="A48" s="58"/>
      <c r="B48" s="3">
        <v>39</v>
      </c>
      <c r="C48" s="42" t="s">
        <v>54</v>
      </c>
      <c r="D48" s="11">
        <v>2500</v>
      </c>
      <c r="E48" s="11">
        <v>0</v>
      </c>
      <c r="F48" s="11">
        <v>375</v>
      </c>
      <c r="G48" s="11">
        <v>1250</v>
      </c>
      <c r="H48" s="11">
        <v>1875</v>
      </c>
      <c r="I48" s="25">
        <v>2500</v>
      </c>
      <c r="J48" s="3">
        <f t="shared" si="3"/>
        <v>2500</v>
      </c>
      <c r="L48" s="27">
        <v>5</v>
      </c>
      <c r="M48" s="3">
        <v>2500</v>
      </c>
    </row>
    <row r="49" spans="1:19" ht="16.5" thickBot="1">
      <c r="A49" s="58"/>
      <c r="B49" s="3">
        <v>40</v>
      </c>
      <c r="C49" s="31" t="s">
        <v>55</v>
      </c>
      <c r="D49" s="32">
        <v>1000</v>
      </c>
      <c r="E49" s="32">
        <v>0</v>
      </c>
      <c r="F49" s="32">
        <v>150</v>
      </c>
      <c r="G49" s="32">
        <v>500</v>
      </c>
      <c r="H49" s="32">
        <v>750</v>
      </c>
      <c r="I49" s="56">
        <v>1000</v>
      </c>
      <c r="J49" s="3">
        <f t="shared" si="3"/>
        <v>1000</v>
      </c>
      <c r="L49" s="27">
        <v>5</v>
      </c>
      <c r="M49" s="3">
        <v>1000</v>
      </c>
      <c r="Q49" s="29" t="s">
        <v>14</v>
      </c>
      <c r="R49" s="30" t="str">
        <f>CONCATENATE(A42, "-", "score")</f>
        <v>Vitality-score</v>
      </c>
      <c r="S49" s="3" t="s">
        <v>15</v>
      </c>
    </row>
    <row r="50" spans="1:19">
      <c r="J50" s="3">
        <f>SUM(J42:J49)</f>
        <v>10000</v>
      </c>
      <c r="M50" s="34">
        <f>SUM(M42:M49)</f>
        <v>9125</v>
      </c>
      <c r="N50" s="3" t="s">
        <v>16</v>
      </c>
      <c r="P50" s="49">
        <f>J50/10000</f>
        <v>1</v>
      </c>
      <c r="Q50" s="29">
        <f>Q40+J50</f>
        <v>33450</v>
      </c>
      <c r="R50" s="36" t="str">
        <f>IF(S50&gt;=6000,"high","low")</f>
        <v>high</v>
      </c>
      <c r="S50" s="3">
        <f>Q50-S40-S30-S21-S12</f>
        <v>10000</v>
      </c>
    </row>
  </sheetData>
  <mergeCells count="5">
    <mergeCell ref="A4:A11"/>
    <mergeCell ref="A13:A20"/>
    <mergeCell ref="A22:A29"/>
    <mergeCell ref="A32:A39"/>
    <mergeCell ref="A42:A49"/>
  </mergeCells>
  <pageMargins left="0.7" right="0.7" top="0.75" bottom="0.75" header="0.3" footer="0.3"/>
  <pageSetup scale="60"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66A04-9BC6-4569-8101-052947BBD615}">
  <dimension ref="A1:P33"/>
  <sheetViews>
    <sheetView zoomScaleNormal="100" workbookViewId="0">
      <pane ySplit="1" topLeftCell="A2" activePane="bottomLeft" state="frozen"/>
      <selection pane="bottomLeft" activeCell="B1" sqref="B1:B1048576"/>
      <selection activeCell="F1" sqref="F1"/>
    </sheetView>
  </sheetViews>
  <sheetFormatPr defaultColWidth="36.5703125" defaultRowHeight="15.95"/>
  <cols>
    <col min="1" max="1" width="2.85546875" style="3" bestFit="1" customWidth="1"/>
    <col min="2" max="2" width="21.28515625" style="12" bestFit="1" customWidth="1"/>
    <col min="3" max="3" width="7.140625" style="12" bestFit="1" customWidth="1"/>
    <col min="4" max="4" width="17.85546875" style="3" bestFit="1" customWidth="1"/>
    <col min="5" max="5" width="8.140625" style="3" bestFit="1" customWidth="1"/>
    <col min="6" max="6" width="7" style="3" bestFit="1" customWidth="1"/>
    <col min="7" max="7" width="6.7109375" style="3" bestFit="1" customWidth="1"/>
    <col min="8" max="8" width="8.5703125" style="3" bestFit="1" customWidth="1"/>
    <col min="9" max="9" width="11.5703125" style="3" bestFit="1" customWidth="1"/>
    <col min="10" max="10" width="45" style="3" customWidth="1"/>
    <col min="11" max="11" width="2.85546875" style="3" bestFit="1" customWidth="1"/>
    <col min="12" max="12" width="3.85546875" style="3" bestFit="1" customWidth="1"/>
    <col min="13" max="13" width="4.85546875" style="3" bestFit="1" customWidth="1"/>
    <col min="14" max="14" width="5.85546875" style="3" bestFit="1" customWidth="1"/>
    <col min="15" max="15" width="33.28515625" style="3" customWidth="1"/>
    <col min="16" max="16384" width="36.5703125" style="3"/>
  </cols>
  <sheetData>
    <row r="1" spans="1:16">
      <c r="A1" s="1"/>
      <c r="B1" s="2" t="s">
        <v>56</v>
      </c>
      <c r="C1" s="2"/>
      <c r="D1" s="1" t="s">
        <v>57</v>
      </c>
      <c r="E1" s="1" t="s">
        <v>5</v>
      </c>
      <c r="F1" s="1" t="s">
        <v>17</v>
      </c>
      <c r="G1" s="1" t="s">
        <v>47</v>
      </c>
      <c r="H1" s="1" t="s">
        <v>29</v>
      </c>
      <c r="I1" s="1" t="s">
        <v>38</v>
      </c>
      <c r="J1" s="1" t="s">
        <v>58</v>
      </c>
      <c r="K1" s="1"/>
      <c r="L1" s="1"/>
      <c r="M1" s="1"/>
      <c r="N1" s="1"/>
      <c r="O1" s="1"/>
      <c r="P1" s="1" t="s">
        <v>59</v>
      </c>
    </row>
    <row r="2" spans="1:16" ht="75">
      <c r="A2" s="4">
        <v>1</v>
      </c>
      <c r="B2" s="5">
        <f t="shared" ref="B2:B33" si="0">SUM(K2:O2)</f>
        <v>0</v>
      </c>
      <c r="C2" s="6" t="s">
        <v>60</v>
      </c>
      <c r="D2" s="4" t="s">
        <v>61</v>
      </c>
      <c r="E2" s="7" t="s">
        <v>62</v>
      </c>
      <c r="F2" s="8" t="s">
        <v>62</v>
      </c>
      <c r="G2" s="8" t="s">
        <v>62</v>
      </c>
      <c r="H2" s="7" t="s">
        <v>62</v>
      </c>
      <c r="I2" s="8" t="s">
        <v>62</v>
      </c>
      <c r="J2" s="9" t="s">
        <v>63</v>
      </c>
      <c r="K2" s="10" t="str">
        <f t="shared" ref="K2:K33" si="1">IF(ISNUMBER(SEARCH("High",E2)),10,"0")</f>
        <v>0</v>
      </c>
      <c r="L2" s="10" t="str">
        <f t="shared" ref="L2:L33" si="2">IF(ISNUMBER(SEARCH("High",G2)),100,"0")</f>
        <v>0</v>
      </c>
      <c r="M2" s="10" t="str">
        <f t="shared" ref="M2:M33" si="3">IF(ISNUMBER(SEARCH("High",H2)),1000,"0")</f>
        <v>0</v>
      </c>
      <c r="N2" s="10" t="str">
        <f t="shared" ref="N2:N33" si="4">IF(ISNUMBER(SEARCH("High",I2)),10000,"0")</f>
        <v>0</v>
      </c>
      <c r="O2" s="10" t="str">
        <f t="shared" ref="O2:O33" si="5">IF(ISNUMBER(SEARCH("High",F2)),100000,"0")</f>
        <v>0</v>
      </c>
      <c r="P2" s="11"/>
    </row>
    <row r="3" spans="1:16" ht="87.6">
      <c r="A3" s="4">
        <v>2</v>
      </c>
      <c r="B3" s="5">
        <f>SUM(K3:O3)</f>
        <v>110000</v>
      </c>
      <c r="C3" s="6" t="s">
        <v>64</v>
      </c>
      <c r="D3" s="4" t="s">
        <v>65</v>
      </c>
      <c r="E3" s="7" t="s">
        <v>62</v>
      </c>
      <c r="F3" s="8" t="s">
        <v>66</v>
      </c>
      <c r="G3" s="7" t="s">
        <v>62</v>
      </c>
      <c r="H3" s="8" t="s">
        <v>62</v>
      </c>
      <c r="I3" s="8" t="s">
        <v>66</v>
      </c>
      <c r="J3" s="9" t="s">
        <v>67</v>
      </c>
      <c r="K3" s="10" t="str">
        <f t="shared" si="1"/>
        <v>0</v>
      </c>
      <c r="L3" s="10" t="str">
        <f t="shared" si="2"/>
        <v>0</v>
      </c>
      <c r="M3" s="10" t="str">
        <f t="shared" si="3"/>
        <v>0</v>
      </c>
      <c r="N3" s="10">
        <f t="shared" si="4"/>
        <v>10000</v>
      </c>
      <c r="O3" s="10">
        <f t="shared" si="5"/>
        <v>100000</v>
      </c>
      <c r="P3" s="11"/>
    </row>
    <row r="4" spans="1:16" ht="75">
      <c r="A4" s="4">
        <v>3</v>
      </c>
      <c r="B4" s="5">
        <f t="shared" si="0"/>
        <v>10000</v>
      </c>
      <c r="C4" s="6" t="s">
        <v>68</v>
      </c>
      <c r="D4" s="4" t="s">
        <v>69</v>
      </c>
      <c r="E4" s="7" t="s">
        <v>62</v>
      </c>
      <c r="F4" s="8" t="s">
        <v>62</v>
      </c>
      <c r="G4" s="8" t="s">
        <v>62</v>
      </c>
      <c r="H4" s="8" t="s">
        <v>62</v>
      </c>
      <c r="I4" s="7" t="s">
        <v>66</v>
      </c>
      <c r="J4" s="9" t="s">
        <v>70</v>
      </c>
      <c r="K4" s="10" t="str">
        <f t="shared" si="1"/>
        <v>0</v>
      </c>
      <c r="L4" s="10" t="str">
        <f t="shared" si="2"/>
        <v>0</v>
      </c>
      <c r="M4" s="10" t="str">
        <f t="shared" si="3"/>
        <v>0</v>
      </c>
      <c r="N4" s="10">
        <f t="shared" si="4"/>
        <v>10000</v>
      </c>
      <c r="O4" s="10" t="str">
        <f t="shared" si="5"/>
        <v>0</v>
      </c>
      <c r="P4" s="11"/>
    </row>
    <row r="5" spans="1:16" ht="75">
      <c r="A5" s="4">
        <v>4</v>
      </c>
      <c r="B5" s="5">
        <f t="shared" si="0"/>
        <v>101100</v>
      </c>
      <c r="C5" s="6" t="s">
        <v>71</v>
      </c>
      <c r="D5" s="4" t="s">
        <v>72</v>
      </c>
      <c r="E5" s="7" t="s">
        <v>62</v>
      </c>
      <c r="F5" s="7" t="s">
        <v>66</v>
      </c>
      <c r="G5" s="8" t="s">
        <v>66</v>
      </c>
      <c r="H5" s="8" t="s">
        <v>66</v>
      </c>
      <c r="I5" s="8" t="s">
        <v>62</v>
      </c>
      <c r="J5" s="9" t="s">
        <v>73</v>
      </c>
      <c r="K5" s="10" t="str">
        <f t="shared" si="1"/>
        <v>0</v>
      </c>
      <c r="L5" s="10">
        <f t="shared" si="2"/>
        <v>100</v>
      </c>
      <c r="M5" s="10">
        <f t="shared" si="3"/>
        <v>1000</v>
      </c>
      <c r="N5" s="10" t="str">
        <f t="shared" si="4"/>
        <v>0</v>
      </c>
      <c r="O5" s="10">
        <f t="shared" si="5"/>
        <v>100000</v>
      </c>
      <c r="P5" s="11"/>
    </row>
    <row r="6" spans="1:16" ht="75">
      <c r="A6" s="4">
        <v>5</v>
      </c>
      <c r="B6" s="5">
        <f t="shared" si="0"/>
        <v>1000</v>
      </c>
      <c r="C6" s="6" t="s">
        <v>74</v>
      </c>
      <c r="D6" s="4" t="s">
        <v>75</v>
      </c>
      <c r="E6" s="8" t="s">
        <v>62</v>
      </c>
      <c r="F6" s="8" t="s">
        <v>62</v>
      </c>
      <c r="G6" s="7" t="s">
        <v>62</v>
      </c>
      <c r="H6" s="7" t="s">
        <v>66</v>
      </c>
      <c r="I6" s="8" t="s">
        <v>62</v>
      </c>
      <c r="J6" s="9" t="s">
        <v>76</v>
      </c>
      <c r="K6" s="10" t="str">
        <f t="shared" si="1"/>
        <v>0</v>
      </c>
      <c r="L6" s="10" t="str">
        <f t="shared" si="2"/>
        <v>0</v>
      </c>
      <c r="M6" s="10">
        <f t="shared" si="3"/>
        <v>1000</v>
      </c>
      <c r="N6" s="10" t="str">
        <f t="shared" si="4"/>
        <v>0</v>
      </c>
      <c r="O6" s="10" t="str">
        <f t="shared" si="5"/>
        <v>0</v>
      </c>
      <c r="P6" s="11"/>
    </row>
    <row r="7" spans="1:16" ht="75">
      <c r="A7" s="4">
        <v>6</v>
      </c>
      <c r="B7" s="5">
        <f t="shared" si="0"/>
        <v>101000</v>
      </c>
      <c r="C7" s="6" t="s">
        <v>77</v>
      </c>
      <c r="D7" s="4" t="s">
        <v>78</v>
      </c>
      <c r="E7" s="8" t="s">
        <v>62</v>
      </c>
      <c r="F7" s="8" t="s">
        <v>66</v>
      </c>
      <c r="G7" s="7" t="s">
        <v>62</v>
      </c>
      <c r="H7" s="8" t="s">
        <v>66</v>
      </c>
      <c r="I7" s="7" t="s">
        <v>62</v>
      </c>
      <c r="J7" s="9" t="s">
        <v>79</v>
      </c>
      <c r="K7" s="10" t="str">
        <f t="shared" si="1"/>
        <v>0</v>
      </c>
      <c r="L7" s="10" t="str">
        <f t="shared" si="2"/>
        <v>0</v>
      </c>
      <c r="M7" s="10">
        <f t="shared" si="3"/>
        <v>1000</v>
      </c>
      <c r="N7" s="10" t="str">
        <f t="shared" si="4"/>
        <v>0</v>
      </c>
      <c r="O7" s="10">
        <f t="shared" si="5"/>
        <v>100000</v>
      </c>
      <c r="P7" s="11"/>
    </row>
    <row r="8" spans="1:16" ht="87.6">
      <c r="A8" s="4">
        <v>7</v>
      </c>
      <c r="B8" s="5">
        <f t="shared" si="0"/>
        <v>11000</v>
      </c>
      <c r="C8" s="6" t="s">
        <v>80</v>
      </c>
      <c r="D8" s="4" t="s">
        <v>81</v>
      </c>
      <c r="E8" s="8" t="s">
        <v>62</v>
      </c>
      <c r="F8" s="7" t="s">
        <v>62</v>
      </c>
      <c r="G8" s="7" t="s">
        <v>62</v>
      </c>
      <c r="H8" s="8" t="s">
        <v>66</v>
      </c>
      <c r="I8" s="8" t="s">
        <v>66</v>
      </c>
      <c r="J8" s="9" t="s">
        <v>82</v>
      </c>
      <c r="K8" s="10" t="str">
        <f t="shared" si="1"/>
        <v>0</v>
      </c>
      <c r="L8" s="10" t="str">
        <f t="shared" si="2"/>
        <v>0</v>
      </c>
      <c r="M8" s="10">
        <f t="shared" si="3"/>
        <v>1000</v>
      </c>
      <c r="N8" s="10">
        <f t="shared" si="4"/>
        <v>10000</v>
      </c>
      <c r="O8" s="10" t="str">
        <f t="shared" si="5"/>
        <v>0</v>
      </c>
      <c r="P8" s="11"/>
    </row>
    <row r="9" spans="1:16" ht="99.95">
      <c r="A9" s="4">
        <v>8</v>
      </c>
      <c r="B9" s="5">
        <f t="shared" si="0"/>
        <v>111000</v>
      </c>
      <c r="C9" s="6" t="s">
        <v>83</v>
      </c>
      <c r="D9" s="4" t="s">
        <v>84</v>
      </c>
      <c r="E9" s="8" t="s">
        <v>62</v>
      </c>
      <c r="F9" s="8" t="s">
        <v>66</v>
      </c>
      <c r="G9" s="8" t="s">
        <v>62</v>
      </c>
      <c r="H9" s="7" t="s">
        <v>66</v>
      </c>
      <c r="I9" s="7" t="s">
        <v>66</v>
      </c>
      <c r="J9" s="9" t="s">
        <v>85</v>
      </c>
      <c r="K9" s="10" t="str">
        <f t="shared" si="1"/>
        <v>0</v>
      </c>
      <c r="L9" s="10" t="str">
        <f t="shared" si="2"/>
        <v>0</v>
      </c>
      <c r="M9" s="10">
        <f t="shared" si="3"/>
        <v>1000</v>
      </c>
      <c r="N9" s="10">
        <f t="shared" si="4"/>
        <v>10000</v>
      </c>
      <c r="O9" s="10">
        <f t="shared" si="5"/>
        <v>100000</v>
      </c>
      <c r="P9" s="11"/>
    </row>
    <row r="10" spans="1:16" ht="87.6">
      <c r="A10" s="4">
        <v>9</v>
      </c>
      <c r="B10" s="5">
        <f t="shared" si="0"/>
        <v>100</v>
      </c>
      <c r="C10" s="6" t="s">
        <v>86</v>
      </c>
      <c r="D10" s="4" t="s">
        <v>87</v>
      </c>
      <c r="E10" s="8" t="s">
        <v>62</v>
      </c>
      <c r="F10" s="7" t="s">
        <v>62</v>
      </c>
      <c r="G10" s="8" t="s">
        <v>66</v>
      </c>
      <c r="H10" s="7" t="s">
        <v>62</v>
      </c>
      <c r="I10" s="8" t="s">
        <v>62</v>
      </c>
      <c r="J10" s="9" t="s">
        <v>88</v>
      </c>
      <c r="K10" s="10" t="str">
        <f t="shared" si="1"/>
        <v>0</v>
      </c>
      <c r="L10" s="10">
        <f t="shared" si="2"/>
        <v>100</v>
      </c>
      <c r="M10" s="10" t="str">
        <f t="shared" si="3"/>
        <v>0</v>
      </c>
      <c r="N10" s="10" t="str">
        <f t="shared" si="4"/>
        <v>0</v>
      </c>
      <c r="O10" s="10" t="str">
        <f t="shared" si="5"/>
        <v>0</v>
      </c>
      <c r="P10" s="11"/>
    </row>
    <row r="11" spans="1:16" ht="99.95">
      <c r="A11" s="4">
        <v>10</v>
      </c>
      <c r="B11" s="5">
        <f t="shared" si="0"/>
        <v>100100</v>
      </c>
      <c r="C11" s="6" t="s">
        <v>89</v>
      </c>
      <c r="D11" s="4" t="s">
        <v>90</v>
      </c>
      <c r="E11" s="8" t="s">
        <v>62</v>
      </c>
      <c r="F11" s="7" t="s">
        <v>66</v>
      </c>
      <c r="G11" s="8" t="s">
        <v>66</v>
      </c>
      <c r="H11" s="8" t="s">
        <v>62</v>
      </c>
      <c r="I11" s="7" t="s">
        <v>62</v>
      </c>
      <c r="J11" s="9" t="s">
        <v>91</v>
      </c>
      <c r="K11" s="10" t="str">
        <f t="shared" si="1"/>
        <v>0</v>
      </c>
      <c r="L11" s="10">
        <f t="shared" si="2"/>
        <v>100</v>
      </c>
      <c r="M11" s="10" t="str">
        <f t="shared" si="3"/>
        <v>0</v>
      </c>
      <c r="N11" s="10" t="str">
        <f t="shared" si="4"/>
        <v>0</v>
      </c>
      <c r="O11" s="10">
        <f t="shared" si="5"/>
        <v>100000</v>
      </c>
      <c r="P11" s="11"/>
    </row>
    <row r="12" spans="1:16" ht="87.6">
      <c r="A12" s="4">
        <v>11</v>
      </c>
      <c r="B12" s="5">
        <f t="shared" si="0"/>
        <v>10100</v>
      </c>
      <c r="C12" s="6" t="s">
        <v>92</v>
      </c>
      <c r="D12" s="4" t="s">
        <v>93</v>
      </c>
      <c r="E12" s="7" t="s">
        <v>62</v>
      </c>
      <c r="F12" s="7" t="s">
        <v>62</v>
      </c>
      <c r="G12" s="7" t="s">
        <v>66</v>
      </c>
      <c r="H12" s="7" t="s">
        <v>62</v>
      </c>
      <c r="I12" s="7" t="s">
        <v>66</v>
      </c>
      <c r="J12" s="9" t="s">
        <v>94</v>
      </c>
      <c r="K12" s="10" t="str">
        <f t="shared" si="1"/>
        <v>0</v>
      </c>
      <c r="L12" s="10">
        <f t="shared" si="2"/>
        <v>100</v>
      </c>
      <c r="M12" s="10" t="str">
        <f t="shared" si="3"/>
        <v>0</v>
      </c>
      <c r="N12" s="10">
        <f t="shared" si="4"/>
        <v>10000</v>
      </c>
      <c r="O12" s="10" t="str">
        <f t="shared" si="5"/>
        <v>0</v>
      </c>
      <c r="P12" s="11"/>
    </row>
    <row r="13" spans="1:16" ht="87.6">
      <c r="A13" s="4">
        <v>12</v>
      </c>
      <c r="B13" s="5">
        <f t="shared" si="0"/>
        <v>110100</v>
      </c>
      <c r="C13" s="6" t="s">
        <v>95</v>
      </c>
      <c r="D13" s="4" t="s">
        <v>96</v>
      </c>
      <c r="E13" s="7" t="s">
        <v>62</v>
      </c>
      <c r="F13" s="8" t="s">
        <v>66</v>
      </c>
      <c r="G13" s="7" t="s">
        <v>66</v>
      </c>
      <c r="H13" s="7" t="s">
        <v>62</v>
      </c>
      <c r="I13" s="7" t="s">
        <v>66</v>
      </c>
      <c r="J13" s="9" t="s">
        <v>97</v>
      </c>
      <c r="K13" s="10" t="str">
        <f t="shared" si="1"/>
        <v>0</v>
      </c>
      <c r="L13" s="10">
        <f t="shared" si="2"/>
        <v>100</v>
      </c>
      <c r="M13" s="10" t="str">
        <f t="shared" si="3"/>
        <v>0</v>
      </c>
      <c r="N13" s="10">
        <f t="shared" si="4"/>
        <v>10000</v>
      </c>
      <c r="O13" s="10">
        <f t="shared" si="5"/>
        <v>100000</v>
      </c>
      <c r="P13" s="11"/>
    </row>
    <row r="14" spans="1:16" ht="87.6">
      <c r="A14" s="4">
        <v>13</v>
      </c>
      <c r="B14" s="5">
        <f t="shared" si="0"/>
        <v>1100</v>
      </c>
      <c r="C14" s="6" t="s">
        <v>98</v>
      </c>
      <c r="D14" s="4" t="s">
        <v>99</v>
      </c>
      <c r="E14" s="7" t="s">
        <v>62</v>
      </c>
      <c r="F14" s="7" t="s">
        <v>62</v>
      </c>
      <c r="G14" s="7" t="s">
        <v>66</v>
      </c>
      <c r="H14" s="7" t="s">
        <v>66</v>
      </c>
      <c r="I14" s="8" t="s">
        <v>62</v>
      </c>
      <c r="J14" s="9" t="s">
        <v>100</v>
      </c>
      <c r="K14" s="10" t="str">
        <f t="shared" si="1"/>
        <v>0</v>
      </c>
      <c r="L14" s="10">
        <f t="shared" si="2"/>
        <v>100</v>
      </c>
      <c r="M14" s="10">
        <f t="shared" si="3"/>
        <v>1000</v>
      </c>
      <c r="N14" s="10" t="str">
        <f t="shared" si="4"/>
        <v>0</v>
      </c>
      <c r="O14" s="10" t="str">
        <f t="shared" si="5"/>
        <v>0</v>
      </c>
      <c r="P14" s="11"/>
    </row>
    <row r="15" spans="1:16" ht="87.6">
      <c r="A15" s="4">
        <v>14</v>
      </c>
      <c r="B15" s="5">
        <f t="shared" si="0"/>
        <v>100000</v>
      </c>
      <c r="C15" s="6" t="s">
        <v>101</v>
      </c>
      <c r="D15" s="4" t="s">
        <v>102</v>
      </c>
      <c r="E15" s="7" t="s">
        <v>62</v>
      </c>
      <c r="F15" s="7" t="s">
        <v>66</v>
      </c>
      <c r="G15" s="7" t="s">
        <v>62</v>
      </c>
      <c r="H15" s="8" t="s">
        <v>62</v>
      </c>
      <c r="I15" s="7" t="s">
        <v>62</v>
      </c>
      <c r="J15" s="9" t="s">
        <v>103</v>
      </c>
      <c r="K15" s="10" t="str">
        <f t="shared" si="1"/>
        <v>0</v>
      </c>
      <c r="L15" s="10" t="str">
        <f t="shared" si="2"/>
        <v>0</v>
      </c>
      <c r="M15" s="10" t="str">
        <f t="shared" si="3"/>
        <v>0</v>
      </c>
      <c r="N15" s="10" t="str">
        <f t="shared" si="4"/>
        <v>0</v>
      </c>
      <c r="O15" s="10">
        <f t="shared" si="5"/>
        <v>100000</v>
      </c>
      <c r="P15" s="11"/>
    </row>
    <row r="16" spans="1:16" ht="99.95">
      <c r="A16" s="4">
        <v>15</v>
      </c>
      <c r="B16" s="5">
        <f t="shared" si="0"/>
        <v>11100</v>
      </c>
      <c r="C16" s="6" t="s">
        <v>104</v>
      </c>
      <c r="D16" s="4" t="s">
        <v>105</v>
      </c>
      <c r="E16" s="7" t="s">
        <v>62</v>
      </c>
      <c r="F16" s="7" t="s">
        <v>62</v>
      </c>
      <c r="G16" s="8" t="s">
        <v>66</v>
      </c>
      <c r="H16" s="7" t="s">
        <v>66</v>
      </c>
      <c r="I16" s="7" t="s">
        <v>66</v>
      </c>
      <c r="J16" s="9" t="s">
        <v>106</v>
      </c>
      <c r="K16" s="10" t="str">
        <f t="shared" si="1"/>
        <v>0</v>
      </c>
      <c r="L16" s="10">
        <f t="shared" si="2"/>
        <v>100</v>
      </c>
      <c r="M16" s="10">
        <f t="shared" si="3"/>
        <v>1000</v>
      </c>
      <c r="N16" s="10">
        <f t="shared" si="4"/>
        <v>10000</v>
      </c>
      <c r="O16" s="10" t="str">
        <f t="shared" si="5"/>
        <v>0</v>
      </c>
      <c r="P16" s="11"/>
    </row>
    <row r="17" spans="1:16" ht="99.95">
      <c r="A17" s="4">
        <v>16</v>
      </c>
      <c r="B17" s="5">
        <f t="shared" si="0"/>
        <v>111100</v>
      </c>
      <c r="C17" s="6" t="s">
        <v>107</v>
      </c>
      <c r="D17" s="4" t="s">
        <v>108</v>
      </c>
      <c r="E17" s="8" t="s">
        <v>62</v>
      </c>
      <c r="F17" s="7" t="s">
        <v>66</v>
      </c>
      <c r="G17" s="7" t="s">
        <v>66</v>
      </c>
      <c r="H17" s="7" t="s">
        <v>66</v>
      </c>
      <c r="I17" s="7" t="s">
        <v>66</v>
      </c>
      <c r="J17" s="9" t="s">
        <v>109</v>
      </c>
      <c r="K17" s="10" t="str">
        <f t="shared" si="1"/>
        <v>0</v>
      </c>
      <c r="L17" s="10">
        <f t="shared" si="2"/>
        <v>100</v>
      </c>
      <c r="M17" s="10">
        <f t="shared" si="3"/>
        <v>1000</v>
      </c>
      <c r="N17" s="10">
        <f t="shared" si="4"/>
        <v>10000</v>
      </c>
      <c r="O17" s="10">
        <f t="shared" si="5"/>
        <v>100000</v>
      </c>
      <c r="P17" s="11"/>
    </row>
    <row r="18" spans="1:16" ht="87.6">
      <c r="A18" s="4">
        <v>17</v>
      </c>
      <c r="B18" s="5">
        <f t="shared" si="0"/>
        <v>10</v>
      </c>
      <c r="C18" s="6" t="s">
        <v>110</v>
      </c>
      <c r="D18" s="4" t="s">
        <v>111</v>
      </c>
      <c r="E18" s="7" t="s">
        <v>66</v>
      </c>
      <c r="F18" s="8" t="s">
        <v>62</v>
      </c>
      <c r="G18" s="8" t="s">
        <v>62</v>
      </c>
      <c r="H18" s="7" t="s">
        <v>62</v>
      </c>
      <c r="I18" s="7" t="s">
        <v>62</v>
      </c>
      <c r="J18" s="9" t="s">
        <v>112</v>
      </c>
      <c r="K18" s="10">
        <f t="shared" si="1"/>
        <v>10</v>
      </c>
      <c r="L18" s="10" t="str">
        <f t="shared" si="2"/>
        <v>0</v>
      </c>
      <c r="M18" s="10" t="str">
        <f t="shared" si="3"/>
        <v>0</v>
      </c>
      <c r="N18" s="10" t="str">
        <f t="shared" si="4"/>
        <v>0</v>
      </c>
      <c r="O18" s="10" t="str">
        <f t="shared" si="5"/>
        <v>0</v>
      </c>
      <c r="P18" s="11"/>
    </row>
    <row r="19" spans="1:16" ht="99.95">
      <c r="A19" s="4">
        <v>18</v>
      </c>
      <c r="B19" s="5">
        <f t="shared" si="0"/>
        <v>100010</v>
      </c>
      <c r="C19" s="6" t="s">
        <v>113</v>
      </c>
      <c r="D19" s="4" t="s">
        <v>114</v>
      </c>
      <c r="E19" s="7" t="s">
        <v>66</v>
      </c>
      <c r="F19" s="7" t="s">
        <v>66</v>
      </c>
      <c r="G19" s="8" t="s">
        <v>62</v>
      </c>
      <c r="H19" s="7" t="s">
        <v>62</v>
      </c>
      <c r="I19" s="8" t="s">
        <v>62</v>
      </c>
      <c r="J19" s="9" t="s">
        <v>115</v>
      </c>
      <c r="K19" s="10">
        <f t="shared" si="1"/>
        <v>10</v>
      </c>
      <c r="L19" s="10" t="str">
        <f t="shared" si="2"/>
        <v>0</v>
      </c>
      <c r="M19" s="10" t="str">
        <f t="shared" si="3"/>
        <v>0</v>
      </c>
      <c r="N19" s="10" t="str">
        <f t="shared" si="4"/>
        <v>0</v>
      </c>
      <c r="O19" s="10">
        <f t="shared" si="5"/>
        <v>100000</v>
      </c>
      <c r="P19" s="11"/>
    </row>
    <row r="20" spans="1:16" ht="99.95">
      <c r="A20" s="4">
        <v>19</v>
      </c>
      <c r="B20" s="5">
        <f t="shared" si="0"/>
        <v>10010</v>
      </c>
      <c r="C20" s="6" t="s">
        <v>116</v>
      </c>
      <c r="D20" s="4" t="s">
        <v>117</v>
      </c>
      <c r="E20" s="7" t="s">
        <v>66</v>
      </c>
      <c r="F20" s="8" t="s">
        <v>62</v>
      </c>
      <c r="G20" s="7" t="s">
        <v>62</v>
      </c>
      <c r="H20" s="8" t="s">
        <v>62</v>
      </c>
      <c r="I20" s="7" t="s">
        <v>66</v>
      </c>
      <c r="J20" s="9" t="s">
        <v>118</v>
      </c>
      <c r="K20" s="10">
        <f t="shared" si="1"/>
        <v>10</v>
      </c>
      <c r="L20" s="10" t="str">
        <f t="shared" si="2"/>
        <v>0</v>
      </c>
      <c r="M20" s="10" t="str">
        <f t="shared" si="3"/>
        <v>0</v>
      </c>
      <c r="N20" s="10">
        <f t="shared" si="4"/>
        <v>10000</v>
      </c>
      <c r="O20" s="10" t="str">
        <f t="shared" si="5"/>
        <v>0</v>
      </c>
      <c r="P20" s="11"/>
    </row>
    <row r="21" spans="1:16" ht="99.95">
      <c r="A21" s="4">
        <v>20</v>
      </c>
      <c r="B21" s="5">
        <f t="shared" si="0"/>
        <v>110010</v>
      </c>
      <c r="C21" s="6" t="s">
        <v>119</v>
      </c>
      <c r="D21" s="4" t="s">
        <v>120</v>
      </c>
      <c r="E21" s="8" t="s">
        <v>66</v>
      </c>
      <c r="F21" s="7" t="s">
        <v>66</v>
      </c>
      <c r="G21" s="7" t="s">
        <v>62</v>
      </c>
      <c r="H21" s="7" t="s">
        <v>62</v>
      </c>
      <c r="I21" s="8" t="s">
        <v>66</v>
      </c>
      <c r="J21" s="9" t="s">
        <v>121</v>
      </c>
      <c r="K21" s="10">
        <f t="shared" si="1"/>
        <v>10</v>
      </c>
      <c r="L21" s="10" t="str">
        <f t="shared" si="2"/>
        <v>0</v>
      </c>
      <c r="M21" s="10" t="str">
        <f t="shared" si="3"/>
        <v>0</v>
      </c>
      <c r="N21" s="10">
        <f t="shared" si="4"/>
        <v>10000</v>
      </c>
      <c r="O21" s="10">
        <f t="shared" si="5"/>
        <v>100000</v>
      </c>
      <c r="P21" s="11"/>
    </row>
    <row r="22" spans="1:16" ht="87.6">
      <c r="A22" s="4">
        <v>21</v>
      </c>
      <c r="B22" s="5">
        <f t="shared" si="0"/>
        <v>1010</v>
      </c>
      <c r="C22" s="6" t="s">
        <v>122</v>
      </c>
      <c r="D22" s="4" t="s">
        <v>123</v>
      </c>
      <c r="E22" s="8" t="s">
        <v>66</v>
      </c>
      <c r="F22" s="8" t="s">
        <v>62</v>
      </c>
      <c r="G22" s="7" t="s">
        <v>62</v>
      </c>
      <c r="H22" s="7" t="s">
        <v>66</v>
      </c>
      <c r="I22" s="7" t="s">
        <v>62</v>
      </c>
      <c r="J22" s="9" t="s">
        <v>124</v>
      </c>
      <c r="K22" s="10">
        <f t="shared" si="1"/>
        <v>10</v>
      </c>
      <c r="L22" s="10" t="str">
        <f t="shared" si="2"/>
        <v>0</v>
      </c>
      <c r="M22" s="10">
        <f t="shared" si="3"/>
        <v>1000</v>
      </c>
      <c r="N22" s="10" t="str">
        <f t="shared" si="4"/>
        <v>0</v>
      </c>
      <c r="O22" s="10" t="str">
        <f t="shared" si="5"/>
        <v>0</v>
      </c>
      <c r="P22" s="11"/>
    </row>
    <row r="23" spans="1:16" ht="99.95">
      <c r="A23" s="4">
        <v>22</v>
      </c>
      <c r="B23" s="5">
        <f t="shared" si="0"/>
        <v>101010</v>
      </c>
      <c r="C23" s="6" t="s">
        <v>125</v>
      </c>
      <c r="D23" s="4" t="s">
        <v>126</v>
      </c>
      <c r="E23" s="8" t="s">
        <v>66</v>
      </c>
      <c r="F23" s="7" t="s">
        <v>66</v>
      </c>
      <c r="G23" s="8" t="s">
        <v>62</v>
      </c>
      <c r="H23" s="7" t="s">
        <v>66</v>
      </c>
      <c r="I23" s="7" t="s">
        <v>62</v>
      </c>
      <c r="J23" s="9" t="s">
        <v>127</v>
      </c>
      <c r="K23" s="10">
        <f t="shared" si="1"/>
        <v>10</v>
      </c>
      <c r="L23" s="10" t="str">
        <f t="shared" si="2"/>
        <v>0</v>
      </c>
      <c r="M23" s="10">
        <f t="shared" si="3"/>
        <v>1000</v>
      </c>
      <c r="N23" s="10" t="str">
        <f t="shared" si="4"/>
        <v>0</v>
      </c>
      <c r="O23" s="10">
        <f t="shared" si="5"/>
        <v>100000</v>
      </c>
      <c r="P23" s="11"/>
    </row>
    <row r="24" spans="1:16" ht="99.95">
      <c r="A24" s="4">
        <v>23</v>
      </c>
      <c r="B24" s="5">
        <f t="shared" si="0"/>
        <v>11010</v>
      </c>
      <c r="C24" s="6" t="s">
        <v>128</v>
      </c>
      <c r="D24" s="4" t="s">
        <v>129</v>
      </c>
      <c r="E24" s="7" t="s">
        <v>66</v>
      </c>
      <c r="F24" s="7" t="s">
        <v>62</v>
      </c>
      <c r="G24" s="7" t="s">
        <v>62</v>
      </c>
      <c r="H24" s="8" t="s">
        <v>66</v>
      </c>
      <c r="I24" s="8" t="s">
        <v>66</v>
      </c>
      <c r="J24" s="9" t="s">
        <v>130</v>
      </c>
      <c r="K24" s="10">
        <f t="shared" si="1"/>
        <v>10</v>
      </c>
      <c r="L24" s="10" t="str">
        <f t="shared" si="2"/>
        <v>0</v>
      </c>
      <c r="M24" s="10">
        <f t="shared" si="3"/>
        <v>1000</v>
      </c>
      <c r="N24" s="10">
        <f t="shared" si="4"/>
        <v>10000</v>
      </c>
      <c r="O24" s="10" t="str">
        <f t="shared" si="5"/>
        <v>0</v>
      </c>
      <c r="P24" s="11"/>
    </row>
    <row r="25" spans="1:16" ht="99.95">
      <c r="A25" s="4">
        <v>24</v>
      </c>
      <c r="B25" s="5">
        <f t="shared" si="0"/>
        <v>111010</v>
      </c>
      <c r="C25" s="6" t="s">
        <v>131</v>
      </c>
      <c r="D25" s="4" t="s">
        <v>132</v>
      </c>
      <c r="E25" s="7" t="s">
        <v>66</v>
      </c>
      <c r="F25" s="7" t="s">
        <v>66</v>
      </c>
      <c r="G25" s="8" t="s">
        <v>62</v>
      </c>
      <c r="H25" s="7" t="s">
        <v>66</v>
      </c>
      <c r="I25" s="8" t="s">
        <v>66</v>
      </c>
      <c r="J25" s="9" t="s">
        <v>133</v>
      </c>
      <c r="K25" s="10">
        <f t="shared" si="1"/>
        <v>10</v>
      </c>
      <c r="L25" s="10" t="str">
        <f t="shared" si="2"/>
        <v>0</v>
      </c>
      <c r="M25" s="10">
        <f t="shared" si="3"/>
        <v>1000</v>
      </c>
      <c r="N25" s="10">
        <f t="shared" si="4"/>
        <v>10000</v>
      </c>
      <c r="O25" s="10">
        <f t="shared" si="5"/>
        <v>100000</v>
      </c>
      <c r="P25" s="11"/>
    </row>
    <row r="26" spans="1:16" ht="99.95">
      <c r="A26" s="4">
        <v>25</v>
      </c>
      <c r="B26" s="5">
        <f t="shared" si="0"/>
        <v>110</v>
      </c>
      <c r="C26" s="6" t="s">
        <v>134</v>
      </c>
      <c r="D26" s="4" t="s">
        <v>135</v>
      </c>
      <c r="E26" s="7" t="s">
        <v>66</v>
      </c>
      <c r="F26" s="8" t="s">
        <v>62</v>
      </c>
      <c r="G26" s="7" t="s">
        <v>66</v>
      </c>
      <c r="H26" s="8" t="s">
        <v>62</v>
      </c>
      <c r="I26" s="7" t="s">
        <v>62</v>
      </c>
      <c r="J26" s="9" t="s">
        <v>136</v>
      </c>
      <c r="K26" s="10">
        <f t="shared" si="1"/>
        <v>10</v>
      </c>
      <c r="L26" s="10">
        <f t="shared" si="2"/>
        <v>100</v>
      </c>
      <c r="M26" s="10" t="str">
        <f t="shared" si="3"/>
        <v>0</v>
      </c>
      <c r="N26" s="10" t="str">
        <f t="shared" si="4"/>
        <v>0</v>
      </c>
      <c r="O26" s="10" t="str">
        <f t="shared" si="5"/>
        <v>0</v>
      </c>
      <c r="P26" s="11"/>
    </row>
    <row r="27" spans="1:16" ht="99.95">
      <c r="A27" s="4">
        <v>26</v>
      </c>
      <c r="B27" s="5">
        <f t="shared" si="0"/>
        <v>100110</v>
      </c>
      <c r="C27" s="6" t="s">
        <v>137</v>
      </c>
      <c r="D27" s="4" t="s">
        <v>138</v>
      </c>
      <c r="E27" s="8" t="s">
        <v>66</v>
      </c>
      <c r="F27" s="8" t="s">
        <v>66</v>
      </c>
      <c r="G27" s="7" t="s">
        <v>66</v>
      </c>
      <c r="H27" s="7" t="s">
        <v>62</v>
      </c>
      <c r="I27" s="7" t="s">
        <v>62</v>
      </c>
      <c r="J27" s="9" t="s">
        <v>139</v>
      </c>
      <c r="K27" s="10">
        <f t="shared" si="1"/>
        <v>10</v>
      </c>
      <c r="L27" s="10">
        <f t="shared" si="2"/>
        <v>100</v>
      </c>
      <c r="M27" s="10" t="str">
        <f t="shared" si="3"/>
        <v>0</v>
      </c>
      <c r="N27" s="10" t="str">
        <f t="shared" si="4"/>
        <v>0</v>
      </c>
      <c r="O27" s="10">
        <f t="shared" si="5"/>
        <v>100000</v>
      </c>
      <c r="P27" s="11"/>
    </row>
    <row r="28" spans="1:16" ht="87.6">
      <c r="A28" s="4">
        <v>27</v>
      </c>
      <c r="B28" s="5">
        <f t="shared" si="0"/>
        <v>10110</v>
      </c>
      <c r="C28" s="6" t="s">
        <v>140</v>
      </c>
      <c r="D28" s="4" t="s">
        <v>141</v>
      </c>
      <c r="E28" s="8" t="s">
        <v>66</v>
      </c>
      <c r="F28" s="7" t="s">
        <v>62</v>
      </c>
      <c r="G28" s="7" t="s">
        <v>66</v>
      </c>
      <c r="H28" s="8" t="s">
        <v>62</v>
      </c>
      <c r="I28" s="8" t="s">
        <v>66</v>
      </c>
      <c r="J28" s="9" t="s">
        <v>142</v>
      </c>
      <c r="K28" s="10">
        <f t="shared" si="1"/>
        <v>10</v>
      </c>
      <c r="L28" s="10">
        <f t="shared" si="2"/>
        <v>100</v>
      </c>
      <c r="M28" s="10" t="str">
        <f t="shared" si="3"/>
        <v>0</v>
      </c>
      <c r="N28" s="10">
        <f t="shared" si="4"/>
        <v>10000</v>
      </c>
      <c r="O28" s="10" t="str">
        <f t="shared" si="5"/>
        <v>0</v>
      </c>
      <c r="P28" s="11"/>
    </row>
    <row r="29" spans="1:16" ht="87.6">
      <c r="A29" s="4">
        <v>28</v>
      </c>
      <c r="B29" s="5">
        <f t="shared" si="0"/>
        <v>110110</v>
      </c>
      <c r="C29" s="6" t="s">
        <v>143</v>
      </c>
      <c r="D29" s="4" t="s">
        <v>144</v>
      </c>
      <c r="E29" s="8" t="s">
        <v>66</v>
      </c>
      <c r="F29" s="8" t="s">
        <v>66</v>
      </c>
      <c r="G29" s="8" t="s">
        <v>66</v>
      </c>
      <c r="H29" s="7" t="s">
        <v>62</v>
      </c>
      <c r="I29" s="7" t="s">
        <v>66</v>
      </c>
      <c r="J29" s="9" t="s">
        <v>145</v>
      </c>
      <c r="K29" s="10">
        <f t="shared" si="1"/>
        <v>10</v>
      </c>
      <c r="L29" s="10">
        <f t="shared" si="2"/>
        <v>100</v>
      </c>
      <c r="M29" s="10" t="str">
        <f t="shared" si="3"/>
        <v>0</v>
      </c>
      <c r="N29" s="10">
        <f t="shared" si="4"/>
        <v>10000</v>
      </c>
      <c r="O29" s="10">
        <f t="shared" si="5"/>
        <v>100000</v>
      </c>
      <c r="P29" s="11"/>
    </row>
    <row r="30" spans="1:16" ht="99.95">
      <c r="A30" s="4">
        <v>29</v>
      </c>
      <c r="B30" s="5">
        <f t="shared" si="0"/>
        <v>1110</v>
      </c>
      <c r="C30" s="6" t="s">
        <v>146</v>
      </c>
      <c r="D30" s="4" t="s">
        <v>147</v>
      </c>
      <c r="E30" s="8" t="s">
        <v>66</v>
      </c>
      <c r="F30" s="7" t="s">
        <v>62</v>
      </c>
      <c r="G30" s="8" t="s">
        <v>66</v>
      </c>
      <c r="H30" s="7" t="s">
        <v>66</v>
      </c>
      <c r="I30" s="8" t="s">
        <v>62</v>
      </c>
      <c r="J30" s="9" t="s">
        <v>148</v>
      </c>
      <c r="K30" s="10">
        <f t="shared" si="1"/>
        <v>10</v>
      </c>
      <c r="L30" s="10">
        <f t="shared" si="2"/>
        <v>100</v>
      </c>
      <c r="M30" s="10">
        <f t="shared" si="3"/>
        <v>1000</v>
      </c>
      <c r="N30" s="10" t="str">
        <f t="shared" si="4"/>
        <v>0</v>
      </c>
      <c r="O30" s="10" t="str">
        <f t="shared" si="5"/>
        <v>0</v>
      </c>
      <c r="P30" s="11"/>
    </row>
    <row r="31" spans="1:16" ht="99.95">
      <c r="A31" s="4">
        <v>30</v>
      </c>
      <c r="B31" s="5">
        <f t="shared" si="0"/>
        <v>101110</v>
      </c>
      <c r="C31" s="6" t="s">
        <v>149</v>
      </c>
      <c r="D31" s="4" t="s">
        <v>150</v>
      </c>
      <c r="E31" s="8" t="s">
        <v>66</v>
      </c>
      <c r="F31" s="7" t="s">
        <v>66</v>
      </c>
      <c r="G31" s="8" t="s">
        <v>66</v>
      </c>
      <c r="H31" s="8" t="s">
        <v>66</v>
      </c>
      <c r="I31" s="7" t="s">
        <v>62</v>
      </c>
      <c r="J31" s="9" t="s">
        <v>151</v>
      </c>
      <c r="K31" s="10">
        <f t="shared" si="1"/>
        <v>10</v>
      </c>
      <c r="L31" s="10">
        <f t="shared" si="2"/>
        <v>100</v>
      </c>
      <c r="M31" s="10">
        <f t="shared" si="3"/>
        <v>1000</v>
      </c>
      <c r="N31" s="10" t="str">
        <f t="shared" si="4"/>
        <v>0</v>
      </c>
      <c r="O31" s="10">
        <f t="shared" si="5"/>
        <v>100000</v>
      </c>
      <c r="P31" s="11"/>
    </row>
    <row r="32" spans="1:16" ht="99.95">
      <c r="A32" s="4">
        <v>31</v>
      </c>
      <c r="B32" s="5">
        <f t="shared" si="0"/>
        <v>11110</v>
      </c>
      <c r="C32" s="6" t="s">
        <v>152</v>
      </c>
      <c r="D32" s="4" t="s">
        <v>153</v>
      </c>
      <c r="E32" s="7" t="s">
        <v>66</v>
      </c>
      <c r="F32" s="7" t="s">
        <v>62</v>
      </c>
      <c r="G32" s="8" t="s">
        <v>66</v>
      </c>
      <c r="H32" s="8" t="s">
        <v>66</v>
      </c>
      <c r="I32" s="7" t="s">
        <v>66</v>
      </c>
      <c r="J32" s="9" t="s">
        <v>154</v>
      </c>
      <c r="K32" s="10">
        <f t="shared" si="1"/>
        <v>10</v>
      </c>
      <c r="L32" s="10">
        <f t="shared" si="2"/>
        <v>100</v>
      </c>
      <c r="M32" s="10">
        <f t="shared" si="3"/>
        <v>1000</v>
      </c>
      <c r="N32" s="10">
        <f t="shared" si="4"/>
        <v>10000</v>
      </c>
      <c r="O32" s="10" t="str">
        <f t="shared" si="5"/>
        <v>0</v>
      </c>
      <c r="P32" s="11"/>
    </row>
    <row r="33" spans="1:16" ht="112.5">
      <c r="A33" s="4">
        <v>32</v>
      </c>
      <c r="B33" s="5">
        <f t="shared" si="0"/>
        <v>111110</v>
      </c>
      <c r="C33" s="6" t="s">
        <v>155</v>
      </c>
      <c r="D33" s="4" t="s">
        <v>156</v>
      </c>
      <c r="E33" s="8" t="s">
        <v>66</v>
      </c>
      <c r="F33" s="7" t="s">
        <v>66</v>
      </c>
      <c r="G33" s="7" t="s">
        <v>66</v>
      </c>
      <c r="H33" s="8" t="s">
        <v>66</v>
      </c>
      <c r="I33" s="7" t="s">
        <v>66</v>
      </c>
      <c r="J33" s="9" t="s">
        <v>157</v>
      </c>
      <c r="K33" s="10">
        <f t="shared" si="1"/>
        <v>10</v>
      </c>
      <c r="L33" s="10">
        <f t="shared" si="2"/>
        <v>100</v>
      </c>
      <c r="M33" s="10">
        <f t="shared" si="3"/>
        <v>1000</v>
      </c>
      <c r="N33" s="10">
        <f t="shared" si="4"/>
        <v>10000</v>
      </c>
      <c r="O33" s="10">
        <f t="shared" si="5"/>
        <v>100000</v>
      </c>
      <c r="P33" s="11"/>
    </row>
  </sheetData>
  <conditionalFormatting sqref="D2:J5 D6:D13 E6:J14 E16:F18 A2:A33 G16:G19 I16:I19 H16:H20 J16:J33 D16:D33">
    <cfRule type="expression" dxfId="4" priority="5">
      <formula>#REF!=TRUE</formula>
    </cfRule>
  </conditionalFormatting>
  <conditionalFormatting sqref="D15:J15 F20 I21 E21:E23 F22 G23 H24 G25 I25 H26 F26:F27 E27:E31 H28:I28 F29 G29:G32 I30 H31:H33 E33 D14">
    <cfRule type="expression" dxfId="3" priority="8">
      <formula>#REF!=TRUE</formula>
    </cfRule>
  </conditionalFormatting>
  <conditionalFormatting sqref="E2:I33">
    <cfRule type="containsText" dxfId="2" priority="1" operator="containsText" text="Low">
      <formula>NOT(ISERROR(SEARCH("Low",E2)))</formula>
    </cfRule>
    <cfRule type="beginsWith" dxfId="1" priority="2" operator="beginsWith" text="High">
      <formula>LEFT(E2,LEN("High"))="High"</formula>
    </cfRule>
  </conditionalFormatting>
  <conditionalFormatting sqref="B2:C33">
    <cfRule type="duplicateValues" dxfId="0" priority="45"/>
  </conditionalFormatting>
  <pageMargins left="0.7" right="0.7" top="0.75" bottom="0.75" header="0.3" footer="0.3"/>
  <pageSetup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3BA33-12C2-4E4D-ABC7-8AEC69B89E31}">
  <dimension ref="A1"/>
  <sheetViews>
    <sheetView workbookViewId="0"/>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893f215-27d9-4307-a30b-def4e5836633">
      <Terms xmlns="http://schemas.microsoft.com/office/infopath/2007/PartnerControls"/>
    </lcf76f155ced4ddcb4097134ff3c332f>
    <TaxCatchAll xmlns="cd6eeb53-4206-4cbf-9925-a306efbeeba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26BDE1F210B504284D7747E19AE8DC1" ma:contentTypeVersion="10" ma:contentTypeDescription="Create a new document." ma:contentTypeScope="" ma:versionID="db0c450264337cbd2ccd310038b8e50d">
  <xsd:schema xmlns:xsd="http://www.w3.org/2001/XMLSchema" xmlns:xs="http://www.w3.org/2001/XMLSchema" xmlns:p="http://schemas.microsoft.com/office/2006/metadata/properties" xmlns:ns2="a893f215-27d9-4307-a30b-def4e5836633" xmlns:ns3="cd6eeb53-4206-4cbf-9925-a306efbeeba9" targetNamespace="http://schemas.microsoft.com/office/2006/metadata/properties" ma:root="true" ma:fieldsID="6b55ccc923351ea7bc96c235a6c851fb" ns2:_="" ns3:_="">
    <xsd:import namespace="a893f215-27d9-4307-a30b-def4e5836633"/>
    <xsd:import namespace="cd6eeb53-4206-4cbf-9925-a306efbeeb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93f215-27d9-4307-a30b-def4e58366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e5b4ae5-aa13-417d-8651-a287ee840d2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d6eeb53-4206-4cbf-9925-a306efbeeb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9b361db-22ca-4ad1-8b5a-d3d75293c6ef}" ma:internalName="TaxCatchAll" ma:showField="CatchAllData" ma:web="cd6eeb53-4206-4cbf-9925-a306efbeeb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3A06AF-4171-43BA-BC82-5FF5438DE22F}"/>
</file>

<file path=customXml/itemProps2.xml><?xml version="1.0" encoding="utf-8"?>
<ds:datastoreItem xmlns:ds="http://schemas.openxmlformats.org/officeDocument/2006/customXml" ds:itemID="{15CD550B-86BB-431C-BA46-C143BE671B4F}"/>
</file>

<file path=customXml/itemProps3.xml><?xml version="1.0" encoding="utf-8"?>
<ds:datastoreItem xmlns:ds="http://schemas.openxmlformats.org/officeDocument/2006/customXml" ds:itemID="{831CDB66-8C59-403F-82CD-78D4EEF953F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Nermine Yassa</dc:creator>
  <cp:keywords/>
  <dc:description/>
  <cp:lastModifiedBy/>
  <cp:revision/>
  <dcterms:created xsi:type="dcterms:W3CDTF">2025-08-17T13:37:35Z</dcterms:created>
  <dcterms:modified xsi:type="dcterms:W3CDTF">2025-08-17T15:10:50Z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0x010100C26BDE1F210B504284D7747E19AE8DC1</vt:lpwstr>
  </property>
  <property fmtid="{D5CDD505-2E9C-101B-9397-08002B2CF9AE}" pid="3" name="MediaServiceImageTags">
    <vt:lpwstr/>
  </property>
</Properties>
</file>